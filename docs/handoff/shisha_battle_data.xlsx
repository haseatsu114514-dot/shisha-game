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凡例・設計メモ" sheetId="1" state="visible" r:id="rId3"/>
    <sheet name="フレーバー" sheetId="2" state="visible" r:id="rId4"/>
    <sheet name="カテゴリ親和表" sheetId="3" state="visible" r:id="rId5"/>
    <sheet name="審査員" sheetId="4" state="visible" r:id="rId6"/>
    <sheet name="隠しレシピ_図鑑" sheetId="5" state="visible" r:id="rId7"/>
    <sheet name="ライバル" sheetId="6" state="visible" r:id="rId8"/>
    <sheet name="レギュレーション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<sst xmlns="http://schemas.openxmlformats.org/spreadsheetml/2006/main" count="674" uniqueCount="543">
  <si>
    <t xml:space="preserve">シーシャバトル：データ設計シート（仮データ版）</t>
  </si>
  <si>
    <t xml:space="preserve">考え方</t>
  </si>
  <si>
    <t xml:space="preserve">フレーバーの相性を「ペア（A×B）」では持たない。各フレーバーに属性を持たせ、相性はカテゴリ親和表＋属性の整合から自動計算する。50種でもペア1225個ではなく、属性10項目×50＝500値で済む。</t>
  </si>
  <si>
    <t xml:space="preserve">スコア式（味）</t>
  </si>
  <si>
    <t xml:space="preserve">味スコア ＝ 素の味力 × まとまり係数 × お題適合</t>
  </si>
  <si>
    <t xml:space="preserve">  素の味力</t>
  </si>
  <si>
    <t xml:space="preserve">各フレーバーの良さ（甘味・主張など）を配分%で加重平均したもの。</t>
  </si>
  <si>
    <t xml:space="preserve">  まとまり係数</t>
  </si>
  <si>
    <t xml:space="preserve">役割の明確さ × カテゴリ親和 −（属性衝突ペナルティ）。0〜1付近の倍率。これを「掛け算」にするのが肝で、全部盛りの事故ミックスは天井が潰れる。</t>
  </si>
  <si>
    <t xml:space="preserve">  お題適合</t>
  </si>
  <si>
    <t xml:space="preserve">レギュ必須フレーバー/カテゴリを満たすか。隠しレシピ発火で追加ボーナス倍率。</t>
  </si>
  <si>
    <t xml:space="preserve">煙量スコア</t>
  </si>
  <si>
    <t xml:space="preserve">ブレンドのボディ平均 × 熱レベル（熱管理ミニゲームの結果）。</t>
  </si>
  <si>
    <t xml:space="preserve">ドロースコア</t>
  </si>
  <si>
    <t xml:space="preserve">熱管理の実行精度 ＋ 詰めの良さ。</t>
  </si>
  <si>
    <t xml:space="preserve">魅せ方スコア</t>
  </si>
  <si>
    <t xml:space="preserve">プレゼン演出。※衝突を打ち消す用途には使わない（後述）。</t>
  </si>
  <si>
    <t xml:space="preserve">衝突の扱い</t>
  </si>
  <si>
    <t xml:space="preserve">衝突＝まとまり係数の減点として系統的に処理する。プレゼンでは救済しない。代わりに審査員の「冒険心」が高いと、高クセ／衝突ミックスを部分的に許容・加点する。→ 審査員シート参照。</t>
  </si>
  <si>
    <t xml:space="preserve">カテゴリ親和表の凡例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</si>
  <si>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＝引き立て（高相性） </t>
    </r>
    <r>
      <rPr>
        <sz val="11"/>
        <color theme="1"/>
        <rFont val="Calibri"/>
        <family val="2"/>
        <charset val="1"/>
      </rPr>
      <t xml:space="preserve">/ 1</t>
    </r>
    <r>
      <rPr>
        <sz val="11"/>
        <color theme="1"/>
        <rFont val="Noto Sans CJK SC"/>
        <family val="2"/>
      </rPr>
      <t xml:space="preserve">＝同系統・無難 </t>
    </r>
    <r>
      <rPr>
        <sz val="11"/>
        <color theme="1"/>
        <rFont val="Calibri"/>
        <family val="2"/>
        <charset val="1"/>
      </rPr>
      <t xml:space="preserve">/ 0</t>
    </r>
    <r>
      <rPr>
        <sz val="11"/>
        <color theme="1"/>
        <rFont val="Noto Sans CJK SC"/>
        <family val="2"/>
      </rPr>
      <t xml:space="preserve">＝中立 </t>
    </r>
    <r>
      <rPr>
        <sz val="11"/>
        <color theme="1"/>
        <rFont val="Calibri"/>
        <family val="2"/>
        <charset val="1"/>
      </rPr>
      <t xml:space="preserve">/ -2</t>
    </r>
    <r>
      <rPr>
        <sz val="11"/>
        <color theme="1"/>
        <rFont val="Noto Sans CJK SC"/>
        <family val="2"/>
      </rPr>
      <t xml:space="preserve">＝衝突（減点）。対称行列。対角＝同系統＝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。</t>
    </r>
  </si>
  <si>
    <t xml:space="preserve">属性の見方</t>
  </si>
  <si>
    <t xml:space="preserve">温度感は符号付き：-100（温・スパイス寄り）〜 0 〜 +100（冷・メンソール寄り）。他は0〜100。</t>
  </si>
  <si>
    <t xml:space="preserve">役割適性（自動）</t>
  </si>
  <si>
    <t xml:space="preserve">フレーバーシートのメイン/サブ/アクセント適性は属性から数式で自動算出（手入力した属性を変えると更新）。サンプル式なので後で調整可。</t>
  </si>
  <si>
    <t xml:space="preserve">ライバルAI</t>
  </si>
  <si>
    <r>
      <rPr>
        <sz val="11"/>
        <color theme="1"/>
        <rFont val="Calibri"/>
        <family val="2"/>
        <charset val="1"/>
      </rPr>
      <t xml:space="preserve">LLM</t>
    </r>
    <r>
      <rPr>
        <sz val="11"/>
        <color theme="1"/>
        <rFont val="Noto Sans CJK SC"/>
        <family val="2"/>
      </rPr>
      <t xml:space="preserve">は不要。各ライバルはプロファイル（狙う温度感・ボディ・軸・多用カテゴリ）を持ち、手持ちプール内の各フレーバーをプロファイルに対して採点→上位をメイン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サブ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アクセントに割当てる貪欲法で</t>
    </r>
    <r>
      <rPr>
        <sz val="11"/>
        <color theme="1"/>
        <rFont val="Calibri"/>
        <family val="2"/>
        <charset val="1"/>
      </rPr>
      <t xml:space="preserve">OK</t>
    </r>
    <r>
      <rPr>
        <sz val="11"/>
        <color theme="1"/>
        <rFont val="Noto Sans CJK SC"/>
        <family val="2"/>
      </rPr>
      <t xml:space="preserve">。詳細はライバルシート。</t>
    </r>
  </si>
  <si>
    <t xml:space="preserve">被り対策</t>
  </si>
  <si>
    <t xml:space="preserve">アーキタイプで嗜好空間を分割してあるので自然に被りにくい。被っても勝敗は熱管理＋配分＋審査員で割れる。ミックス名はキャラ別に固有化（コンカフェ風）して見た目の被りを消す。</t>
  </si>
  <si>
    <t xml:space="preserve">注意</t>
  </si>
  <si>
    <t xml:space="preserve">数値はすべて仮。バランスは未調整。本番は自分で埋め替える前提。</t>
  </si>
  <si>
    <t xml:space="preserve">データ反映メモ</t>
  </si>
  <si>
    <t xml:space="preserve">フレーバーは計画リスト約55種に拡張（F025〜）。審査員=南雲/ケムリ/パッキー/前園/DJ SMOKE/エミル/チャド/ダ・シルヴァ。ライバル=なる/アダム/みんと(緑川栞)/神崎/零REI/ヴォルク/ましろ/ナンディ/スティーブ。隠しレシピNo.008〜はキャラ伝授の実レシピ。レギュは全5章の実大会に対応。カテゴリ親和表は調整用に未変更。</t>
  </si>
  <si>
    <t xml:space="preserve">フレーバー・ステータス（仮データ・自由に書き換え）</t>
  </si>
  <si>
    <t xml:space="preserve">ID</t>
  </si>
  <si>
    <t xml:space="preserve">表示名</t>
  </si>
  <si>
    <t xml:space="preserve">カテゴリ</t>
  </si>
  <si>
    <t xml:space="preserve">甘味</t>
  </si>
  <si>
    <t xml:space="preserve">酸味</t>
  </si>
  <si>
    <t xml:space="preserve">温度感</t>
  </si>
  <si>
    <t xml:space="preserve">ボディ</t>
  </si>
  <si>
    <t xml:space="preserve">主張</t>
  </si>
  <si>
    <t xml:space="preserve">熱耐性</t>
  </si>
  <si>
    <t xml:space="preserve">持続性</t>
  </si>
  <si>
    <t xml:space="preserve">クセ</t>
  </si>
  <si>
    <t xml:space="preserve">メイン適性(自動)</t>
  </si>
  <si>
    <t xml:space="preserve">サブ適性(自動)</t>
  </si>
  <si>
    <t xml:space="preserve">アクセント適性(自動)</t>
  </si>
  <si>
    <t xml:space="preserve">フレーバーテキスト/メモ</t>
  </si>
  <si>
    <t xml:space="preserve">F001</t>
  </si>
  <si>
    <t xml:space="preserve">レモン</t>
  </si>
  <si>
    <t xml:space="preserve">柑橘</t>
  </si>
  <si>
    <t xml:space="preserve">柑橘の主役級。酸が強く熱に弱い</t>
  </si>
  <si>
    <t xml:space="preserve">F002</t>
  </si>
  <si>
    <t xml:space="preserve">ライム</t>
  </si>
  <si>
    <t xml:space="preserve">レモンよりビター</t>
  </si>
  <si>
    <t xml:space="preserve">F003</t>
  </si>
  <si>
    <t xml:space="preserve">グレープフルーツ</t>
  </si>
  <si>
    <t xml:space="preserve">ほろ苦さがクセ</t>
  </si>
  <si>
    <t xml:space="preserve">F004</t>
  </si>
  <si>
    <t xml:space="preserve">オレンジ</t>
  </si>
  <si>
    <t xml:space="preserve">甘めで扱いやすい</t>
  </si>
  <si>
    <t xml:space="preserve">F005</t>
  </si>
  <si>
    <t xml:space="preserve">ストロベリー</t>
  </si>
  <si>
    <t xml:space="preserve">ベリー</t>
  </si>
  <si>
    <t xml:space="preserve">王道の甘さ</t>
  </si>
  <si>
    <t xml:space="preserve">F006</t>
  </si>
  <si>
    <t xml:space="preserve">ブルーベリー</t>
  </si>
  <si>
    <t xml:space="preserve">ジャム的な深み</t>
  </si>
  <si>
    <t xml:space="preserve">F007</t>
  </si>
  <si>
    <t xml:space="preserve">ラズベリー</t>
  </si>
  <si>
    <t xml:space="preserve">酸と甘のバランス</t>
  </si>
  <si>
    <t xml:space="preserve">F008</t>
  </si>
  <si>
    <t xml:space="preserve">マンゴー</t>
  </si>
  <si>
    <t xml:space="preserve">トロピカル</t>
  </si>
  <si>
    <t xml:space="preserve">濃厚トロピカル。メイン向き</t>
  </si>
  <si>
    <t xml:space="preserve">F009</t>
  </si>
  <si>
    <t xml:space="preserve">パッションフルーツ</t>
  </si>
  <si>
    <t xml:space="preserve">南国の酸味</t>
  </si>
  <si>
    <t xml:space="preserve">F010</t>
  </si>
  <si>
    <t xml:space="preserve">ココナッツ</t>
  </si>
  <si>
    <t xml:space="preserve">まろやか。サブで活きる</t>
  </si>
  <si>
    <t xml:space="preserve">F011</t>
  </si>
  <si>
    <t xml:space="preserve">りんご</t>
  </si>
  <si>
    <t xml:space="preserve">果実</t>
  </si>
  <si>
    <t xml:space="preserve">万能。スパイスと好相性</t>
  </si>
  <si>
    <t xml:space="preserve">F012</t>
  </si>
  <si>
    <t xml:space="preserve">ぶどう</t>
  </si>
  <si>
    <t xml:space="preserve">甘く濃い</t>
  </si>
  <si>
    <t xml:space="preserve">F013</t>
  </si>
  <si>
    <t xml:space="preserve">ミント</t>
  </si>
  <si>
    <t xml:space="preserve">清涼アクセントの定番</t>
  </si>
  <si>
    <t xml:space="preserve">F014</t>
  </si>
  <si>
    <t xml:space="preserve">メンソール</t>
  </si>
  <si>
    <t xml:space="preserve">強烈な冷涼。配分注意</t>
  </si>
  <si>
    <t xml:space="preserve">F015</t>
  </si>
  <si>
    <t xml:space="preserve">バニラ</t>
  </si>
  <si>
    <t xml:space="preserve">デザート</t>
  </si>
  <si>
    <t xml:space="preserve">濃厚ベース。サブ/メイン両用</t>
  </si>
  <si>
    <t xml:space="preserve">F016</t>
  </si>
  <si>
    <t xml:space="preserve">チョコレート</t>
  </si>
  <si>
    <t xml:space="preserve">重い。盛りすぎ注意</t>
  </si>
  <si>
    <t xml:space="preserve">F017</t>
  </si>
  <si>
    <t xml:space="preserve">はちみつ</t>
  </si>
  <si>
    <t xml:space="preserve">甘味アクセント。角を丸める</t>
  </si>
  <si>
    <t xml:space="preserve">F018</t>
  </si>
  <si>
    <t xml:space="preserve">シナモン</t>
  </si>
  <si>
    <t xml:space="preserve">スパイス</t>
  </si>
  <si>
    <t xml:space="preserve">温スパイス。果実/菓子と引き立て</t>
  </si>
  <si>
    <t xml:space="preserve">F019</t>
  </si>
  <si>
    <t xml:space="preserve">カルダモン</t>
  </si>
  <si>
    <t xml:space="preserve">香りをシャープに。クセ強</t>
  </si>
  <si>
    <t xml:space="preserve">F020</t>
  </si>
  <si>
    <t xml:space="preserve">ローズ</t>
  </si>
  <si>
    <t xml:space="preserve">フローラル</t>
  </si>
  <si>
    <t xml:space="preserve">華やか。ベリーと好相性</t>
  </si>
  <si>
    <t xml:space="preserve">F021</t>
  </si>
  <si>
    <t xml:space="preserve">ジャスミン</t>
  </si>
  <si>
    <t xml:space="preserve">繊細。果実のアクセント</t>
  </si>
  <si>
    <t xml:space="preserve">F022</t>
  </si>
  <si>
    <t xml:space="preserve">アールグレイ</t>
  </si>
  <si>
    <t xml:space="preserve">ティー</t>
  </si>
  <si>
    <t xml:space="preserve">紅茶ベース。柑橘と王道</t>
  </si>
  <si>
    <t xml:space="preserve">F023</t>
  </si>
  <si>
    <t xml:space="preserve">バブルガム</t>
  </si>
  <si>
    <t xml:space="preserve">ガム</t>
  </si>
  <si>
    <t xml:space="preserve">ポップで主張強め</t>
  </si>
  <si>
    <t xml:space="preserve">F024</t>
  </si>
  <si>
    <t xml:space="preserve">ダブルアップル</t>
  </si>
  <si>
    <t xml:space="preserve">特殊</t>
  </si>
  <si>
    <t xml:space="preserve">シーシャ感の塊。ミントと鉄板</t>
  </si>
  <si>
    <t xml:space="preserve">F025</t>
  </si>
  <si>
    <t xml:space="preserve">パイナップル</t>
  </si>
  <si>
    <t xml:space="preserve">明るい酸味の万能トロピカル</t>
  </si>
  <si>
    <t xml:space="preserve">F026</t>
  </si>
  <si>
    <t xml:space="preserve">グアバ</t>
  </si>
  <si>
    <t xml:space="preserve">南国のとろみ。濃いめ</t>
  </si>
  <si>
    <t xml:space="preserve">F027</t>
  </si>
  <si>
    <t xml:space="preserve">ドラゴンフルーツ</t>
  </si>
  <si>
    <t xml:space="preserve">見た目華やか・味は穏やか（神崎の推し）</t>
  </si>
  <si>
    <t xml:space="preserve">F028</t>
  </si>
  <si>
    <t xml:space="preserve">ライチ</t>
  </si>
  <si>
    <t xml:space="preserve">上品な甘い香り（王煙楼の推し）</t>
  </si>
  <si>
    <t xml:space="preserve">F029</t>
  </si>
  <si>
    <t xml:space="preserve">バナナ</t>
  </si>
  <si>
    <t xml:space="preserve">濃厚まろやか。サブ向き</t>
  </si>
  <si>
    <t xml:space="preserve">F030</t>
  </si>
  <si>
    <t xml:space="preserve">ピーチ</t>
  </si>
  <si>
    <t xml:space="preserve">ジューシーで万能</t>
  </si>
  <si>
    <t xml:space="preserve">F031</t>
  </si>
  <si>
    <t xml:space="preserve">メロン</t>
  </si>
  <si>
    <t xml:space="preserve">とろける甘さ</t>
  </si>
  <si>
    <t xml:space="preserve">F032</t>
  </si>
  <si>
    <t xml:space="preserve">スイカ</t>
  </si>
  <si>
    <t xml:space="preserve">みずみずしい夏味</t>
  </si>
  <si>
    <t xml:space="preserve">F033</t>
  </si>
  <si>
    <t xml:space="preserve">キウイ</t>
  </si>
  <si>
    <t xml:space="preserve">甘酸っぱい</t>
  </si>
  <si>
    <t xml:space="preserve">F034</t>
  </si>
  <si>
    <t xml:space="preserve">クールミント</t>
  </si>
  <si>
    <t xml:space="preserve">ミントより刺さる清涼</t>
  </si>
  <si>
    <t xml:space="preserve">F035</t>
  </si>
  <si>
    <t xml:space="preserve">トワイスアイス</t>
  </si>
  <si>
    <t xml:space="preserve">極冷。配分注意</t>
  </si>
  <si>
    <t xml:space="preserve">F036</t>
  </si>
  <si>
    <t xml:space="preserve">ダークチョコレート</t>
  </si>
  <si>
    <t xml:space="preserve">ビターで重い。盛りすぎ注意</t>
  </si>
  <si>
    <t xml:space="preserve">F037</t>
  </si>
  <si>
    <t xml:space="preserve">キャラメル</t>
  </si>
  <si>
    <t xml:space="preserve">香ばしい甘さ</t>
  </si>
  <si>
    <t xml:space="preserve">F038</t>
  </si>
  <si>
    <t xml:space="preserve">コーヒー</t>
  </si>
  <si>
    <t xml:space="preserve">ほろ苦カフェ（ケムリ寄り）</t>
  </si>
  <si>
    <t xml:space="preserve">F039</t>
  </si>
  <si>
    <t xml:space="preserve">カプチーノ</t>
  </si>
  <si>
    <t xml:space="preserve">クリーミー</t>
  </si>
  <si>
    <t xml:space="preserve">F040</t>
  </si>
  <si>
    <t xml:space="preserve">エスプレッソ</t>
  </si>
  <si>
    <t xml:space="preserve">濃厚な苦味</t>
  </si>
  <si>
    <t xml:space="preserve">F041</t>
  </si>
  <si>
    <t xml:space="preserve">ヘーゼルナッツ</t>
  </si>
  <si>
    <t xml:space="preserve">香ばしいナッツ</t>
  </si>
  <si>
    <t xml:space="preserve">F042</t>
  </si>
  <si>
    <t xml:space="preserve">コットンキャンディ</t>
  </si>
  <si>
    <t xml:space="preserve">綿菓子。ポップな甘さ</t>
  </si>
  <si>
    <t xml:space="preserve">F043</t>
  </si>
  <si>
    <t xml:space="preserve">クローブ</t>
  </si>
  <si>
    <t xml:space="preserve">鋭い温スパイス。クセ強</t>
  </si>
  <si>
    <t xml:space="preserve">F044</t>
  </si>
  <si>
    <t xml:space="preserve">アニス</t>
  </si>
  <si>
    <t xml:space="preserve">リコリス系。ダブルアップルの核</t>
  </si>
  <si>
    <t xml:space="preserve">F045</t>
  </si>
  <si>
    <t xml:space="preserve">リコリス</t>
  </si>
  <si>
    <t xml:space="preserve">甘い薬草感</t>
  </si>
  <si>
    <t xml:space="preserve">F046</t>
  </si>
  <si>
    <t xml:space="preserve">ジンジャー</t>
  </si>
  <si>
    <t xml:space="preserve">ピリッとした辛味</t>
  </si>
  <si>
    <t xml:space="preserve">F047</t>
  </si>
  <si>
    <t xml:space="preserve">ブラックペッパー</t>
  </si>
  <si>
    <t xml:space="preserve">刺激の辛味。上級者向け</t>
  </si>
  <si>
    <t xml:space="preserve">F048</t>
  </si>
  <si>
    <t xml:space="preserve">ナツメグ</t>
  </si>
  <si>
    <t xml:space="preserve">焼き菓子の温かみ</t>
  </si>
  <si>
    <t xml:space="preserve">F049</t>
  </si>
  <si>
    <t xml:space="preserve">バジル</t>
  </si>
  <si>
    <t xml:space="preserve">ハーブの爽やかさ（やや冷寄り）</t>
  </si>
  <si>
    <t xml:space="preserve">F050</t>
  </si>
  <si>
    <t xml:space="preserve">ラベンダー</t>
  </si>
  <si>
    <t xml:space="preserve">鎮静の香り（つむぎ寄り）</t>
  </si>
  <si>
    <t xml:space="preserve">F051</t>
  </si>
  <si>
    <t xml:space="preserve">カモミール</t>
  </si>
  <si>
    <t xml:space="preserve">やさしいハーブティー感</t>
  </si>
  <si>
    <t xml:space="preserve">F052</t>
  </si>
  <si>
    <t xml:space="preserve">桜</t>
  </si>
  <si>
    <t xml:space="preserve">和フローラル。季節限定向き</t>
  </si>
  <si>
    <t xml:space="preserve">F053</t>
  </si>
  <si>
    <t xml:space="preserve">ガーデニア</t>
  </si>
  <si>
    <t xml:space="preserve">濃密な花の香り</t>
  </si>
  <si>
    <t xml:space="preserve">F054</t>
  </si>
  <si>
    <t xml:space="preserve">ブラックティー</t>
  </si>
  <si>
    <t xml:space="preserve">渋み。スパイスと好相性</t>
  </si>
  <si>
    <t xml:space="preserve">F055</t>
  </si>
  <si>
    <t xml:space="preserve">コーラ</t>
  </si>
  <si>
    <t xml:space="preserve">ジャンクな個性（ケムリ寄り）</t>
  </si>
  <si>
    <t xml:space="preserve">カテゴリ親和表（2=引き立て / 1=同系統 / 0=中立 / -2=衝突）対称行列・編集可</t>
  </si>
  <si>
    <t xml:space="preserve">＼</t>
  </si>
  <si>
    <t xml:space="preserve">審査員プロファイル（冒険心が高いほど高クセ/衝突ミックスを許容・加点）</t>
  </si>
  <si>
    <t xml:space="preserve">名前</t>
  </si>
  <si>
    <t xml:space="preserve">タイプ</t>
  </si>
  <si>
    <t xml:space="preserve">味重視</t>
  </si>
  <si>
    <t xml:space="preserve">煙量重視</t>
  </si>
  <si>
    <t xml:space="preserve">ドロー重視</t>
  </si>
  <si>
    <t xml:space="preserve">魅せ方重視</t>
  </si>
  <si>
    <t xml:space="preserve">好みカテゴリ</t>
  </si>
  <si>
    <t xml:space="preserve">冒険心</t>
  </si>
  <si>
    <t xml:space="preserve">一言/性格</t>
  </si>
  <si>
    <t xml:space="preserve">メモ</t>
  </si>
  <si>
    <t xml:space="preserve">J01</t>
  </si>
  <si>
    <t xml:space="preserve">南雲 修二</t>
  </si>
  <si>
    <t xml:space="preserve">審査員長/総合・基本重視</t>
  </si>
  <si>
    <t xml:space="preserve">ティー,特殊</t>
  </si>
  <si>
    <t xml:space="preserve">……悪くない。だが、本物か？</t>
  </si>
  <si>
    <t xml:space="preserve">全章固定の審査員長。店の哲学が煙に出ているかを最重視</t>
  </si>
  <si>
    <t xml:space="preserve">J02</t>
  </si>
  <si>
    <t xml:space="preserve">ドクター・ケムリ</t>
  </si>
  <si>
    <t xml:space="preserve">研究者/データ最適化</t>
  </si>
  <si>
    <t xml:space="preserve">特殊,スパイス</t>
  </si>
  <si>
    <t xml:space="preserve">データ的には……実に面白いね。</t>
  </si>
  <si>
    <t xml:space="preserve">全章固定。第5章の裏ボス（SHISHA-9000）</t>
  </si>
  <si>
    <t xml:space="preserve">J03</t>
  </si>
  <si>
    <t xml:space="preserve">パッキー</t>
  </si>
  <si>
    <t xml:space="preserve">MC/魅せ方・同点裁定</t>
  </si>
  <si>
    <t xml:space="preserve">ガム,特殊</t>
  </si>
  <si>
    <t xml:space="preserve">ぷぷぷっ！オモロいの持ってきたなァ！</t>
  </si>
  <si>
    <t xml:space="preserve">大会MC。本当に美味い時だけ沈黙し煙が虹色に</t>
  </si>
  <si>
    <t xml:space="preserve">J04</t>
  </si>
  <si>
    <t xml:space="preserve">前園 壮一郎</t>
  </si>
  <si>
    <t xml:space="preserve">ベテラン/素朴</t>
  </si>
  <si>
    <t xml:space="preserve">デザート,トロピカル</t>
  </si>
  <si>
    <t xml:space="preserve">シーシャはおいしいねえ。</t>
  </si>
  <si>
    <t xml:space="preserve">第1章ゲスト審査員</t>
  </si>
  <si>
    <t xml:space="preserve">J05</t>
  </si>
  <si>
    <t xml:space="preserve">DJ SMOKE</t>
  </si>
  <si>
    <t xml:space="preserve">空間/煙量</t>
  </si>
  <si>
    <t xml:space="preserve">特殊,ミント</t>
  </si>
  <si>
    <t xml:space="preserve">技術の前に、場を支配できてるか？</t>
  </si>
  <si>
    <t xml:space="preserve">第2章ゲスト。クラブVJ兼任</t>
  </si>
  <si>
    <t xml:space="preserve">J06</t>
  </si>
  <si>
    <t xml:space="preserve">エミル・ユルマズ</t>
  </si>
  <si>
    <t xml:space="preserve">伝統/職人</t>
  </si>
  <si>
    <t xml:space="preserve">スパイス,ティー</t>
  </si>
  <si>
    <t xml:space="preserve">新しいだけでは、本物ではない。</t>
  </si>
  <si>
    <t xml:space="preserve">第3章ゲスト。トルコ500年の伝統</t>
  </si>
  <si>
    <t xml:space="preserve">J07</t>
  </si>
  <si>
    <t xml:space="preserve">チャド・ウィンズロウ</t>
  </si>
  <si>
    <t xml:space="preserve">ショーマンシップ</t>
  </si>
  <si>
    <t xml:space="preserve">ガム,トロピカル</t>
  </si>
  <si>
    <t xml:space="preserve">お前に足りないのはショータイムだ。</t>
  </si>
  <si>
    <t xml:space="preserve">第4章審査員（対戦相手と見せかけて審査員）</t>
  </si>
  <si>
    <t xml:space="preserve">J08</t>
  </si>
  <si>
    <t xml:space="preserve">ダ・シルヴァ太陽</t>
  </si>
  <si>
    <t xml:space="preserve">祝祭/エンタメ</t>
  </si>
  <si>
    <t xml:space="preserve">トロピカル,ベリー</t>
  </si>
  <si>
    <t xml:space="preserve">シーシャは楽しむもんだ！フェスタ！</t>
  </si>
  <si>
    <t xml:space="preserve">第4章審査員（同上）</t>
  </si>
  <si>
    <t xml:space="preserve">隠しレシピ（フレーバー完全一致ではなく「カテゴリ＋役割＋属性条件」のパターンで定義）</t>
  </si>
  <si>
    <t xml:space="preserve">図鑑No</t>
  </si>
  <si>
    <t xml:space="preserve">レシピ名</t>
  </si>
  <si>
    <t xml:space="preserve">メイン条件</t>
  </si>
  <si>
    <t xml:space="preserve">サブ条件</t>
  </si>
  <si>
    <t xml:space="preserve">アクセント条件</t>
  </si>
  <si>
    <t xml:space="preserve">属性条件</t>
  </si>
  <si>
    <t xml:space="preserve">ボーナス倍率</t>
  </si>
  <si>
    <t xml:space="preserve">入手方法</t>
  </si>
  <si>
    <t xml:space="preserve">ヒント文</t>
  </si>
  <si>
    <t xml:space="preserve">フレーバーテキスト</t>
  </si>
  <si>
    <t xml:space="preserve">No.001</t>
  </si>
  <si>
    <t xml:space="preserve">レモネード</t>
  </si>
  <si>
    <t xml:space="preserve">柑橘(レモン)</t>
  </si>
  <si>
    <t xml:space="preserve">高甘味・低酸味(はちみつ等)</t>
  </si>
  <si>
    <t xml:space="preserve">まとまり≥0.7 / 温度感+</t>
  </si>
  <si>
    <t xml:space="preserve">1.3</t>
  </si>
  <si>
    <t xml:space="preserve">発見</t>
  </si>
  <si>
    <t xml:space="preserve">夏の縁側で飲みたくなる、あの黄色い…</t>
  </si>
  <si>
    <t xml:space="preserve">爽やかさが喉を一直線に駆け抜ける一杯</t>
  </si>
  <si>
    <t xml:space="preserve">No.002</t>
  </si>
  <si>
    <t xml:space="preserve">アップルパイ</t>
  </si>
  <si>
    <t xml:space="preserve">果実(りんご)</t>
  </si>
  <si>
    <t xml:space="preserve">デザート(バニラ)</t>
  </si>
  <si>
    <t xml:space="preserve">スパイス(シナモン)</t>
  </si>
  <si>
    <t xml:space="preserve">まとまり≥0.65</t>
  </si>
  <si>
    <t xml:space="preserve">1.4</t>
  </si>
  <si>
    <t xml:space="preserve">伝聞(菓子職人NPC)</t>
  </si>
  <si>
    <t xml:space="preserve">甘い生地と温かい香り、焼き菓子の王様</t>
  </si>
  <si>
    <t xml:space="preserve">オーブンから出したての記憶の味</t>
  </si>
  <si>
    <t xml:space="preserve">No.003</t>
  </si>
  <si>
    <t xml:space="preserve">レモンティー</t>
  </si>
  <si>
    <t xml:space="preserve">ティー(アールグレイ)</t>
  </si>
  <si>
    <t xml:space="preserve">高甘味</t>
  </si>
  <si>
    <t xml:space="preserve">まとまり≥0.7</t>
  </si>
  <si>
    <t xml:space="preserve">午後の紅茶に、輪切りをひとつ</t>
  </si>
  <si>
    <t xml:space="preserve">上品な渋みに柑橘がよく映える</t>
  </si>
  <si>
    <t xml:space="preserve">No.004</t>
  </si>
  <si>
    <t xml:space="preserve">トロピカルカクテル</t>
  </si>
  <si>
    <t xml:space="preserve">トロピカル(マンゴー)</t>
  </si>
  <si>
    <t xml:space="preserve">トロピカル(ココナッツ)</t>
  </si>
  <si>
    <t xml:space="preserve">柑橘(ライム)</t>
  </si>
  <si>
    <t xml:space="preserve">まとまり≥0.6</t>
  </si>
  <si>
    <t xml:space="preserve">1.35</t>
  </si>
  <si>
    <t xml:space="preserve">伝聞(バーのママ)</t>
  </si>
  <si>
    <t xml:space="preserve">常夏のビーチ、グラスに刺さった果実</t>
  </si>
  <si>
    <t xml:space="preserve">南国に飛んだ気分のリゾート系</t>
  </si>
  <si>
    <t xml:space="preserve">No.005</t>
  </si>
  <si>
    <t xml:space="preserve">エレガントガーデン</t>
  </si>
  <si>
    <t xml:space="preserve">フローラル(ローズ)</t>
  </si>
  <si>
    <t xml:space="preserve">果実(ライチ)</t>
  </si>
  <si>
    <t xml:space="preserve">まとまり≥0.65 / クセ高め可</t>
  </si>
  <si>
    <t xml:space="preserve">貴婦人の庭、薔薇とほのかな果実</t>
  </si>
  <si>
    <t xml:space="preserve">華やかで少し背伸びした大人の味</t>
  </si>
  <si>
    <t xml:space="preserve">No.006</t>
  </si>
  <si>
    <t xml:space="preserve">シナモンクッキー</t>
  </si>
  <si>
    <t xml:space="preserve">—</t>
  </si>
  <si>
    <t xml:space="preserve">まとまり≥0.6 / 温度感−</t>
  </si>
  <si>
    <t xml:space="preserve">伝聞</t>
  </si>
  <si>
    <t xml:space="preserve">焼きたての、スパイスの効いたあれ</t>
  </si>
  <si>
    <t xml:space="preserve">ほっとする冬の定番デザート</t>
  </si>
  <si>
    <t xml:space="preserve">No.007</t>
  </si>
  <si>
    <t xml:space="preserve">カルダモンコーヒー</t>
  </si>
  <si>
    <t xml:space="preserve">デザート/ティー(コーヒー)</t>
  </si>
  <si>
    <t xml:space="preserve">スパイス(カルダモン)</t>
  </si>
  <si>
    <t xml:space="preserve">中東の喫茶店で出てくる一杯</t>
  </si>
  <si>
    <t xml:space="preserve">スパイスが香る大人の苦味</t>
  </si>
  <si>
    <t xml:space="preserve">No.008</t>
  </si>
  <si>
    <t xml:space="preserve">ピニャコラーダ</t>
  </si>
  <si>
    <t xml:space="preserve">トロピカル(パイナップル)</t>
  </si>
  <si>
    <t xml:space="preserve">伝授（スミさん・好感度3+バイト）</t>
  </si>
  <si>
    <t xml:space="preserve">師匠が昔よく作っていた、南国の一杯</t>
  </si>
  <si>
    <t xml:space="preserve">甘い南国の風がふっと吹く、トロピカルブレンド</t>
  </si>
  <si>
    <t xml:space="preserve">No.009</t>
  </si>
  <si>
    <t xml:space="preserve">地獄のメンソール</t>
  </si>
  <si>
    <t xml:space="preserve">ミント(高温度感)</t>
  </si>
  <si>
    <t xml:space="preserve">温度感 極大 / クセ高め可</t>
  </si>
  <si>
    <t xml:space="preserve">1.20</t>
  </si>
  <si>
    <t xml:space="preserve">伝授（なる・好感度2+練習後）</t>
  </si>
  <si>
    <t xml:space="preserve">鳴切が「俺の必殺技だ」と自慢してくる</t>
  </si>
  <si>
    <t xml:space="preserve">喉が震える、一部の人にはたまらない劇物系</t>
  </si>
  <si>
    <t xml:space="preserve">No.010</t>
  </si>
  <si>
    <t xml:space="preserve">ミッドナイトチャイ</t>
  </si>
  <si>
    <t xml:space="preserve">特殊(ダブルアップル)</t>
  </si>
  <si>
    <t xml:space="preserve">スパイス可</t>
  </si>
  <si>
    <t xml:space="preserve">まとまり≥0.65 / 温度感−</t>
  </si>
  <si>
    <t xml:space="preserve">1.30</t>
  </si>
  <si>
    <t xml:space="preserve">伝授（つむぎ・バイトイベント）</t>
  </si>
  <si>
    <t xml:space="preserve">深夜カフェの、スパイスと甘み</t>
  </si>
  <si>
    <t xml:space="preserve">ダブルアップルにバニラを乗せた深夜の一杯</t>
  </si>
  <si>
    <t xml:space="preserve">No.011</t>
  </si>
  <si>
    <t xml:space="preserve">トロピカルサンセット</t>
  </si>
  <si>
    <t xml:space="preserve">ベリー(ブルーベリー)</t>
  </si>
  <si>
    <t xml:space="preserve">伝授（アダム・練習後）</t>
  </si>
  <si>
    <t xml:space="preserve">吾妻の意外な引き出し</t>
  </si>
  <si>
    <t xml:space="preserve">明るさに酸味が絡む、夕焼け色のミックス</t>
  </si>
  <si>
    <t xml:space="preserve">No.012</t>
  </si>
  <si>
    <t xml:space="preserve">ローズラテ</t>
  </si>
  <si>
    <t xml:space="preserve">デザート(コーヒー)</t>
  </si>
  <si>
    <t xml:space="preserve">1.40</t>
  </si>
  <si>
    <t xml:space="preserve">伝授（宵野 葉子・ch2）</t>
  </si>
  <si>
    <t xml:space="preserve">華やかな花と、ミルクの香り</t>
  </si>
  <si>
    <t xml:space="preserve">薔薇香るカフェラテのような一杯</t>
  </si>
  <si>
    <t xml:space="preserve">No.013</t>
  </si>
  <si>
    <t xml:space="preserve">ドラゴンスパイス</t>
  </si>
  <si>
    <t xml:space="preserve">トロピカル(ドラゴンフルーツ)</t>
  </si>
  <si>
    <t xml:space="preserve">スパイス(ジンジャー)</t>
  </si>
  <si>
    <t xml:space="preserve">ミント可</t>
  </si>
  <si>
    <t xml:space="preserve">伝授（神崎 竜二・ch2）</t>
  </si>
  <si>
    <t xml:space="preserve">派手な見た目に、刺激を効かせる</t>
  </si>
  <si>
    <t xml:space="preserve">龍の吐息のような刺激的ブレンド</t>
  </si>
  <si>
    <t xml:space="preserve">No.014</t>
  </si>
  <si>
    <t xml:space="preserve">シガーマンブレンド</t>
  </si>
  <si>
    <t xml:space="preserve">ボディ 極高 / まとまり≥0.6</t>
  </si>
  <si>
    <t xml:space="preserve">1.50</t>
  </si>
  <si>
    <t xml:space="preserve">秘伝（ましろ・ch3）</t>
  </si>
  <si>
    <t xml:space="preserve">あの伝説の、重い煙</t>
  </si>
  <si>
    <t xml:space="preserve">人間が作る煙じゃない、と噂された一杯</t>
  </si>
  <si>
    <t xml:space="preserve">No.015</t>
  </si>
  <si>
    <t xml:space="preserve">チャイの記憶</t>
  </si>
  <si>
    <t xml:space="preserve">ティー(ブラックティー)</t>
  </si>
  <si>
    <t xml:space="preserve">伝授（ナンディ・ch3）</t>
  </si>
  <si>
    <t xml:space="preserve">インドの、マサラチャイ</t>
  </si>
  <si>
    <t xml:space="preserve">故郷のチャイの記憶を呼び起こす一杯</t>
  </si>
  <si>
    <t xml:space="preserve">No.016</t>
  </si>
  <si>
    <t xml:space="preserve">砂漠の夜風</t>
  </si>
  <si>
    <t xml:space="preserve">伝授（シェイク・ch4）</t>
  </si>
  <si>
    <t xml:space="preserve">満天の星空の下で吸う、一杯</t>
  </si>
  <si>
    <t xml:space="preserve">砂漠の夜の星空を感じる、最高峰のブレンド</t>
  </si>
  <si>
    <t xml:space="preserve">ライバル・プロファイル（嗜好空間を分割＝被り防止。AI不要、貪欲法で構成選択）</t>
  </si>
  <si>
    <t xml:space="preserve">アーキタイプ</t>
  </si>
  <si>
    <t xml:space="preserve">狙う温度感</t>
  </si>
  <si>
    <t xml:space="preserve">狙うボディ</t>
  </si>
  <si>
    <t xml:space="preserve">最適化軸</t>
  </si>
  <si>
    <t xml:space="preserve">多用カテゴリ</t>
  </si>
  <si>
    <t xml:space="preserve">狙う隠しレシピ傾向</t>
  </si>
  <si>
    <t xml:space="preserve">ミックス命名スタイル</t>
  </si>
  <si>
    <t xml:space="preserve">性格/セリフ例</t>
  </si>
  <si>
    <t xml:space="preserve">R01</t>
  </si>
  <si>
    <t xml:space="preserve">なる（鳴切 亮太）</t>
  </si>
  <si>
    <t xml:space="preserve">お菓子/甘味・覚醒型</t>
  </si>
  <si>
    <t xml:space="preserve">やや温</t>
  </si>
  <si>
    <t xml:space="preserve">高</t>
  </si>
  <si>
    <t xml:space="preserve">味（甘味）</t>
  </si>
  <si>
    <t xml:space="preserve">デザート,ガム</t>
  </si>
  <si>
    <t xml:space="preserve">極甘・スイーツ系</t>
  </si>
  <si>
    <t xml:space="preserve">イキった用語マウント系（例：至高のバニラ・キャラメリゼ）</t>
  </si>
  <si>
    <t xml:space="preserve">「は？それ立ち上がり甘いだけだろｗ」→覚醒後は熱い好敵手</t>
  </si>
  <si>
    <t xml:space="preserve">R02</t>
  </si>
  <si>
    <t xml:space="preserve">アダム（吾妻 大夢）</t>
  </si>
  <si>
    <t xml:space="preserve">単一特化/職人</t>
  </si>
  <si>
    <t xml:space="preserve">中立〜温</t>
  </si>
  <si>
    <t xml:space="preserve">味（まとまり）</t>
  </si>
  <si>
    <t xml:space="preserve">ダブルアップル系一本</t>
  </si>
  <si>
    <t xml:space="preserve">ローランド風（例：ダブルアップル、それ即ち宇宙）</t>
  </si>
  <si>
    <t xml:space="preserve">「世の中のシーシャは、ダブルアップルかそれ以外か」</t>
  </si>
  <si>
    <t xml:space="preserve">R03</t>
  </si>
  <si>
    <t xml:space="preserve">みんと（緑川 栞）</t>
  </si>
  <si>
    <t xml:space="preserve">魅せ方/世界観型</t>
  </si>
  <si>
    <t xml:space="preserve">強冷</t>
  </si>
  <si>
    <t xml:space="preserve">中</t>
  </si>
  <si>
    <t xml:space="preserve">魅せ方</t>
  </si>
  <si>
    <t xml:space="preserve">ミント,ガム,ベリー</t>
  </si>
  <si>
    <t xml:space="preserve">映え・ポップ系</t>
  </si>
  <si>
    <t xml:space="preserve">超キャラ名（例：きゅるんっ♡悪魔のチョコミント）※中身は堅実</t>
  </si>
  <si>
    <t xml:space="preserve">「みんとの一杯、召し上がれ♡」</t>
  </si>
  <si>
    <t xml:space="preserve">R04</t>
  </si>
  <si>
    <t xml:space="preserve">神崎 竜二</t>
  </si>
  <si>
    <t xml:space="preserve">硬派/純度型</t>
  </si>
  <si>
    <t xml:space="preserve">中立</t>
  </si>
  <si>
    <t xml:space="preserve">味（純度）</t>
  </si>
  <si>
    <t xml:space="preserve">特殊,スパイス,ティー</t>
  </si>
  <si>
    <t xml:space="preserve">無香料・純タバコ葉系</t>
  </si>
  <si>
    <t xml:space="preserve">任侠・漢字（例：仁義）</t>
  </si>
  <si>
    <t xml:space="preserve">「ワシの煙に、媚びはいらん」</t>
  </si>
  <si>
    <t xml:space="preserve">R05</t>
  </si>
  <si>
    <t xml:space="preserve">零-REI-（田中 健太）</t>
  </si>
  <si>
    <t xml:space="preserve">カリスマ/魅せ方型</t>
  </si>
  <si>
    <t xml:space="preserve">やや冷</t>
  </si>
  <si>
    <t xml:space="preserve">フローラル,ベリー</t>
  </si>
  <si>
    <t xml:space="preserve">耽美・ローズ系</t>
  </si>
  <si>
    <t xml:space="preserve">V系耽美（例：薔薇獄の夜想曲）</t>
  </si>
  <si>
    <t xml:space="preserve">「……酔いな、俺の煙に」</t>
  </si>
  <si>
    <t xml:space="preserve">R06</t>
  </si>
  <si>
    <t xml:space="preserve">ヴォルク・イヴァノフ</t>
  </si>
  <si>
    <t xml:space="preserve">精度/ドロー型</t>
  </si>
  <si>
    <t xml:space="preserve">ドロー</t>
  </si>
  <si>
    <t xml:space="preserve">ミント,特殊</t>
  </si>
  <si>
    <t xml:space="preserve">精密・クール系</t>
  </si>
  <si>
    <t xml:space="preserve">無骨（例：Точность／精度）</t>
  </si>
  <si>
    <t xml:space="preserve">「感情は邪魔だ。精度だけが勝つ」</t>
  </si>
  <si>
    <t xml:space="preserve">R07</t>
  </si>
  <si>
    <t xml:space="preserve">ましろ（真白 ましろ）</t>
  </si>
  <si>
    <t xml:space="preserve">重煙/玄人・裏ボス</t>
  </si>
  <si>
    <t xml:space="preserve">温</t>
  </si>
  <si>
    <t xml:space="preserve">極高</t>
  </si>
  <si>
    <t xml:space="preserve">味（重厚）</t>
  </si>
  <si>
    <t xml:space="preserve">シガーリーフ・重厚系</t>
  </si>
  <si>
    <t xml:space="preserve">ふんわり（例：もくもくおふとん）※実態は超重い</t>
  </si>
  <si>
    <t xml:space="preserve">「シガーマン……こわいですねぇ」</t>
  </si>
  <si>
    <t xml:space="preserve">R08</t>
  </si>
  <si>
    <t xml:space="preserve">ナンディ・カルダモン</t>
  </si>
  <si>
    <t xml:space="preserve">伝統/スパイス型</t>
  </si>
  <si>
    <t xml:space="preserve">味（伝統）</t>
  </si>
  <si>
    <t xml:space="preserve">チャイ・伝統系</t>
  </si>
  <si>
    <t xml:space="preserve">インド由来（例：母のマサラチャイ）</t>
  </si>
  <si>
    <t xml:space="preserve">煙が音楽のように波打つ</t>
  </si>
  <si>
    <t xml:space="preserve">R09</t>
  </si>
  <si>
    <t xml:space="preserve">スティーブ・デイビス</t>
  </si>
  <si>
    <t xml:space="preserve">繊細/低温型</t>
  </si>
  <si>
    <t xml:space="preserve">冷</t>
  </si>
  <si>
    <t xml:space="preserve">味（繊細）</t>
  </si>
  <si>
    <t xml:space="preserve">デザート,特殊</t>
  </si>
  <si>
    <t xml:space="preserve">アメリカン低温系</t>
  </si>
  <si>
    <t xml:space="preserve">直球英語（例：Mountain Fog）</t>
  </si>
  <si>
    <t xml:space="preserve">巨漢だが作りは異常に繊細</t>
  </si>
  <si>
    <t xml:space="preserve">大会レギュレーション（全員同条件で告知＝出来レースにならない）</t>
  </si>
  <si>
    <t xml:space="preserve">大会ID</t>
  </si>
  <si>
    <t xml:space="preserve">大会名</t>
  </si>
  <si>
    <t xml:space="preserve">レギュ種別</t>
  </si>
  <si>
    <t xml:space="preserve">必須フレーバー/カテゴリ</t>
  </si>
  <si>
    <t xml:space="preserve">推奨お題像</t>
  </si>
  <si>
    <t xml:space="preserve">禁止</t>
  </si>
  <si>
    <t xml:space="preserve">審査員構成(ID)</t>
  </si>
  <si>
    <t xml:space="preserve">T01</t>
  </si>
  <si>
    <t xml:space="preserve">SMOKE CROWN CUP（第1章）</t>
  </si>
  <si>
    <t xml:space="preserve">自由〜軽指定</t>
  </si>
  <si>
    <t xml:space="preserve">なし（入門・素直さ勝負）</t>
  </si>
  <si>
    <t xml:space="preserve">テーマ「リラックス」等／丁寧な完成度</t>
  </si>
  <si>
    <t xml:space="preserve">J01,J04,J03</t>
  </si>
  <si>
    <t xml:space="preserve">地方。C.STATION旗艦店。南雲が異様に高評価する伏線</t>
  </si>
  <si>
    <t xml:space="preserve">T02</t>
  </si>
  <si>
    <t xml:space="preserve">HAZE: OPEN CLOUD（第2章）</t>
  </si>
  <si>
    <t xml:space="preserve">カテゴリ/テーマ指定</t>
  </si>
  <si>
    <t xml:space="preserve">テーマに沿うカテゴリ</t>
  </si>
  <si>
    <t xml:space="preserve">空間・煙量・場の支配</t>
  </si>
  <si>
    <t xml:space="preserve">J01,J02,J05</t>
  </si>
  <si>
    <t xml:space="preserve">全国。才能の壁と嫉妬の章</t>
  </si>
  <si>
    <t xml:space="preserve">T03</t>
  </si>
  <si>
    <t xml:space="preserve">HAZE: ASIA TOKYO（第3章）</t>
  </si>
  <si>
    <t xml:space="preserve">カテゴリ指定（伝統）</t>
  </si>
  <si>
    <t xml:space="preserve">スパイス系 or 伝統カテゴリ</t>
  </si>
  <si>
    <t xml:space="preserve">チャイ／伝統系の深み</t>
  </si>
  <si>
    <t xml:space="preserve">J01,J02,J06</t>
  </si>
  <si>
    <t xml:space="preserve">アジア・4人同時。伝統重視。エミルの伝統式ナルギレ</t>
  </si>
  <si>
    <t xml:space="preserve">T04</t>
  </si>
  <si>
    <t xml:space="preserve">HAZE: GRAND SMOKE（第4章）</t>
  </si>
  <si>
    <t xml:space="preserve">自由（完成度勝負）</t>
  </si>
  <si>
    <t xml:space="preserve">なし</t>
  </si>
  <si>
    <t xml:space="preserve">全部背負った最後の一台</t>
  </si>
  <si>
    <t xml:space="preserve">模造機材（実ルール準拠）</t>
  </si>
  <si>
    <t xml:space="preserve">J01,J02,J07,J08</t>
  </si>
  <si>
    <t xml:space="preserve">世界・ドバイ。ラスボス＝シェイク・アル＝ガリヤーン</t>
  </si>
  <si>
    <t xml:space="preserve">T05</t>
  </si>
  <si>
    <t xml:space="preserve">SHISHA-9000 戦（第5章）</t>
  </si>
  <si>
    <t xml:space="preserve">特殊（AI対戦・採点超越）</t>
  </si>
  <si>
    <t xml:space="preserve">「今ここにいるあなた」への一杯</t>
  </si>
  <si>
    <t xml:space="preserve">SMOKE LAB。勝敗より“誰のための煙か”を問う最終試練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</si>
</sst>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4858"/>
      <name val="Noto Sans CJK SC"/>
      <family val="2"/>
      <charset val="1"/>
    </font>
    <font>
      <b val="true"/>
      <sz val="11"/>
      <color rgb="FF2F4858"/>
      <name val="Cambria"/>
      <family val="0"/>
      <charset val="1"/>
    </font>
    <font>
      <b val="true"/>
      <sz val="11"/>
      <color rgb="FF2F4858"/>
      <name val="Noto Sans CJK SC"/>
      <family val="2"/>
      <charset val="1"/>
    </font>
    <font>
      <sz val="11"/>
      <color theme="1"/>
      <name val="Noto Sans CJK SC"/>
      <family val="2"/>
      <charset val="1"/>
    </font>
    <font>
      <sz val="11"/>
      <color theme="1"/>
      <name val="Noto Sans CJK SC"/>
      <family val="2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Noto Sans CJK SC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2F4858"/>
        <bgColor rgb="FF333399"/>
      </patternFill>
    </fill>
    <fill>
      <patternFill patternType="solid">
        <fgColor rgb="FFEEF3F8"/>
        <bgColor rgb="FFE2EFDA"/>
      </patternFill>
    </fill>
    <fill>
      <patternFill patternType="solid">
        <fgColor rgb="FFE2EFDA"/>
        <bgColor rgb="FFEEF3F8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EF3F8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85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95"/>
  </cols>
  <sheetData>
    <row r="1" customFormat="false" ht="17.25" hidden="false" customHeight="true" outlineLevel="0" collapsed="false">
      <c r="A1" s="2" t="s">
        <v>0</v>
      </c>
    </row>
    <row r="2" customFormat="false" ht="30" hidden="false" customHeight="true" outlineLevel="0" collapsed="false">
      <c r="A2" s="3"/>
      <c r="B2" s="4"/>
    </row>
    <row r="3" customFormat="false" ht="30" hidden="false" customHeight="true" outlineLevel="0" collapsed="false">
      <c r="A3" s="5" t="s">
        <v>1</v>
      </c>
      <c r="B3" s="6" t="s">
        <v>2</v>
      </c>
    </row>
    <row r="4" customFormat="false" ht="30" hidden="false" customHeight="true" outlineLevel="0" collapsed="false">
      <c r="A4" s="3"/>
      <c r="B4" s="4"/>
    </row>
    <row r="5" customFormat="false" ht="30" hidden="false" customHeight="true" outlineLevel="0" collapsed="false">
      <c r="A5" s="5" t="s">
        <v>3</v>
      </c>
      <c r="B5" s="6" t="s">
        <v>4</v>
      </c>
    </row>
    <row r="6" customFormat="false" ht="30" hidden="false" customHeight="true" outlineLevel="0" collapsed="false">
      <c r="A6" s="5" t="s">
        <v>5</v>
      </c>
      <c r="B6" s="6" t="s">
        <v>6</v>
      </c>
    </row>
    <row r="7" customFormat="false" ht="30" hidden="false" customHeight="true" outlineLevel="0" collapsed="false">
      <c r="A7" s="5" t="s">
        <v>7</v>
      </c>
      <c r="B7" s="6" t="s">
        <v>8</v>
      </c>
    </row>
    <row r="8" customFormat="false" ht="30" hidden="false" customHeight="true" outlineLevel="0" collapsed="false">
      <c r="A8" s="5" t="s">
        <v>9</v>
      </c>
      <c r="B8" s="6" t="s">
        <v>10</v>
      </c>
    </row>
    <row r="9" customFormat="false" ht="30" hidden="false" customHeight="true" outlineLevel="0" collapsed="false">
      <c r="A9" s="3"/>
      <c r="B9" s="4"/>
    </row>
    <row r="10" customFormat="false" ht="30" hidden="false" customHeight="true" outlineLevel="0" collapsed="false">
      <c r="A10" s="5" t="s">
        <v>11</v>
      </c>
      <c r="B10" s="6" t="s">
        <v>12</v>
      </c>
    </row>
    <row r="11" customFormat="false" ht="30" hidden="false" customHeight="true" outlineLevel="0" collapsed="false">
      <c r="A11" s="5" t="s">
        <v>13</v>
      </c>
      <c r="B11" s="6" t="s">
        <v>14</v>
      </c>
    </row>
    <row r="12" customFormat="false" ht="30" hidden="false" customHeight="true" outlineLevel="0" collapsed="false">
      <c r="A12" s="5" t="s">
        <v>15</v>
      </c>
      <c r="B12" s="6" t="s">
        <v>16</v>
      </c>
    </row>
    <row r="13" customFormat="false" ht="30" hidden="false" customHeight="true" outlineLevel="0" collapsed="false">
      <c r="A13" s="3"/>
      <c r="B13" s="4"/>
    </row>
    <row r="14" customFormat="false" ht="30" hidden="false" customHeight="true" outlineLevel="0" collapsed="false">
      <c r="A14" s="5" t="s">
        <v>17</v>
      </c>
      <c r="B14" s="6" t="s">
        <v>18</v>
      </c>
    </row>
    <row r="15" customFormat="false" ht="30" hidden="false" customHeight="true" outlineLevel="0" collapsed="false">
      <c r="A15" s="3"/>
      <c r="B15" s="4"/>
    </row>
    <row r="16" customFormat="false" ht="30" hidden="false" customHeight="true" outlineLevel="0" collapsed="false">
      <c r="A16" s="5" t="s">
        <v>19</v>
      </c>
      <c r="B16" s="4" t="s">
        <v>20</v>
      </c>
    </row>
    <row r="17" customFormat="false" ht="30" hidden="false" customHeight="true" outlineLevel="0" collapsed="false">
      <c r="A17" s="5" t="s">
        <v>21</v>
      </c>
      <c r="B17" s="6" t="s">
        <v>22</v>
      </c>
    </row>
    <row r="18" customFormat="false" ht="30" hidden="false" customHeight="true" outlineLevel="0" collapsed="false">
      <c r="A18" s="5" t="s">
        <v>23</v>
      </c>
      <c r="B18" s="6" t="s">
        <v>24</v>
      </c>
    </row>
    <row r="19" customFormat="false" ht="30" hidden="false" customHeight="true" outlineLevel="0" collapsed="false">
      <c r="A19" s="3"/>
      <c r="B19" s="4"/>
    </row>
    <row r="20" customFormat="false" ht="30" hidden="false" customHeight="true" outlineLevel="0" collapsed="false">
      <c r="A20" s="5" t="s">
        <v>25</v>
      </c>
      <c r="B20" s="4" t="s">
        <v>26</v>
      </c>
    </row>
    <row r="21" customFormat="false" ht="30" hidden="false" customHeight="true" outlineLevel="0" collapsed="false">
      <c r="A21" s="5" t="s">
        <v>27</v>
      </c>
      <c r="B21" s="6" t="s">
        <v>28</v>
      </c>
    </row>
    <row r="22" customFormat="false" ht="30" hidden="false" customHeight="true" outlineLevel="0" collapsed="false">
      <c r="A22" s="3"/>
      <c r="B22" s="4"/>
    </row>
    <row r="23" customFormat="false" ht="30" hidden="false" customHeight="true" outlineLevel="0" collapsed="false">
      <c r="A23" s="5" t="s">
        <v>29</v>
      </c>
      <c r="B23" s="6" t="s">
        <v>30</v>
      </c>
    </row>
    <row r="25" customFormat="false" ht="64.15" hidden="false" customHeight="false" outlineLevel="0" collapsed="false">
      <c r="A25" s="5" t="s">
        <v>31</v>
      </c>
      <c r="B25" s="6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5" min="4" style="1" width="7"/>
    <col collapsed="false" customWidth="true" hidden="false" outlineLevel="0" max="6" min="6" style="1" width="8"/>
    <col collapsed="false" customWidth="true" hidden="false" outlineLevel="0" max="8" min="7" style="1" width="7"/>
    <col collapsed="false" customWidth="true" hidden="false" outlineLevel="0" max="10" min="9" style="1" width="8"/>
    <col collapsed="false" customWidth="true" hidden="false" outlineLevel="0" max="11" min="11" style="1" width="7"/>
    <col collapsed="false" customWidth="true" hidden="false" outlineLevel="0" max="13" min="12" style="1" width="13"/>
    <col collapsed="false" customWidth="true" hidden="false" outlineLevel="0" max="14" min="14" style="1" width="15"/>
    <col collapsed="false" customWidth="true" hidden="false" outlineLevel="0" max="15" min="15" style="1" width="40"/>
  </cols>
  <sheetData>
    <row r="1" customFormat="false" ht="17.25" hidden="false" customHeight="true" outlineLevel="0" collapsed="false">
      <c r="A1" s="2" t="s">
        <v>33</v>
      </c>
    </row>
    <row r="2" customFormat="false" ht="16.5" hidden="false" customHeight="true" outlineLevel="0" collapsed="false">
      <c r="A2" s="7" t="s">
        <v>34</v>
      </c>
      <c r="B2" s="8" t="s">
        <v>35</v>
      </c>
      <c r="C2" s="8" t="s">
        <v>36</v>
      </c>
      <c r="D2" s="8" t="s">
        <v>37</v>
      </c>
      <c r="E2" s="8" t="s">
        <v>38</v>
      </c>
      <c r="F2" s="8" t="s">
        <v>39</v>
      </c>
      <c r="G2" s="8" t="s">
        <v>40</v>
      </c>
      <c r="H2" s="8" t="s">
        <v>41</v>
      </c>
      <c r="I2" s="8" t="s">
        <v>42</v>
      </c>
      <c r="J2" s="8" t="s">
        <v>43</v>
      </c>
      <c r="K2" s="8" t="s">
        <v>44</v>
      </c>
      <c r="L2" s="8" t="s">
        <v>45</v>
      </c>
      <c r="M2" s="8" t="s">
        <v>46</v>
      </c>
      <c r="N2" s="8" t="s">
        <v>47</v>
      </c>
      <c r="O2" s="8" t="s">
        <v>48</v>
      </c>
    </row>
    <row r="3" customFormat="false" ht="16.5" hidden="false" customHeight="true" outlineLevel="0" collapsed="false">
      <c r="A3" s="9" t="s">
        <v>49</v>
      </c>
      <c r="B3" s="10" t="s">
        <v>50</v>
      </c>
      <c r="C3" s="10" t="s">
        <v>51</v>
      </c>
      <c r="D3" s="11" t="n">
        <v>35</v>
      </c>
      <c r="E3" s="11" t="n">
        <v>80</v>
      </c>
      <c r="F3" s="11" t="n">
        <v>10</v>
      </c>
      <c r="G3" s="11" t="n">
        <v>30</v>
      </c>
      <c r="H3" s="11" t="n">
        <v>70</v>
      </c>
      <c r="I3" s="11" t="n">
        <v>30</v>
      </c>
      <c r="J3" s="11" t="n">
        <v>50</v>
      </c>
      <c r="K3" s="11" t="n">
        <v>20</v>
      </c>
      <c r="L3" s="12" t="n">
        <f aca="false">ROUND(G3*0.5+H3*0.5,0)</f>
        <v>50</v>
      </c>
      <c r="M3" s="12" t="n">
        <f aca="false">ROUND(H3*0.4+(100-K3)*0.3+D3*0.3,0)</f>
        <v>63</v>
      </c>
      <c r="N3" s="12" t="n">
        <f aca="false">ROUND(ABS(F3)*0.4+K3*0.3+(100-G3)*0.3,0)</f>
        <v>31</v>
      </c>
      <c r="O3" s="13" t="s">
        <v>52</v>
      </c>
    </row>
    <row r="4" customFormat="false" ht="16.5" hidden="false" customHeight="true" outlineLevel="0" collapsed="false">
      <c r="A4" s="9" t="s">
        <v>53</v>
      </c>
      <c r="B4" s="10" t="s">
        <v>54</v>
      </c>
      <c r="C4" s="10" t="s">
        <v>51</v>
      </c>
      <c r="D4" s="11" t="n">
        <v>30</v>
      </c>
      <c r="E4" s="11" t="n">
        <v>82</v>
      </c>
      <c r="F4" s="11" t="n">
        <v>15</v>
      </c>
      <c r="G4" s="11" t="n">
        <v>28</v>
      </c>
      <c r="H4" s="11" t="n">
        <v>65</v>
      </c>
      <c r="I4" s="11" t="n">
        <v>28</v>
      </c>
      <c r="J4" s="11" t="n">
        <v>45</v>
      </c>
      <c r="K4" s="11" t="n">
        <v>25</v>
      </c>
      <c r="L4" s="12" t="n">
        <f aca="false">ROUND(G4*0.5+H4*0.5,0)</f>
        <v>47</v>
      </c>
      <c r="M4" s="12" t="n">
        <f aca="false">ROUND(H4*0.4+(100-K4)*0.3+D4*0.3,0)</f>
        <v>58</v>
      </c>
      <c r="N4" s="12" t="n">
        <f aca="false">ROUND(ABS(F4)*0.4+K4*0.3+(100-G4)*0.3,0)</f>
        <v>35</v>
      </c>
      <c r="O4" s="13" t="s">
        <v>55</v>
      </c>
    </row>
    <row r="5" customFormat="false" ht="16.5" hidden="false" customHeight="true" outlineLevel="0" collapsed="false">
      <c r="A5" s="9" t="s">
        <v>56</v>
      </c>
      <c r="B5" s="10" t="s">
        <v>57</v>
      </c>
      <c r="C5" s="10" t="s">
        <v>51</v>
      </c>
      <c r="D5" s="11" t="n">
        <v>38</v>
      </c>
      <c r="E5" s="11" t="n">
        <v>70</v>
      </c>
      <c r="F5" s="11" t="n">
        <v>12</v>
      </c>
      <c r="G5" s="11" t="n">
        <v>35</v>
      </c>
      <c r="H5" s="11" t="n">
        <v>60</v>
      </c>
      <c r="I5" s="11" t="n">
        <v>35</v>
      </c>
      <c r="J5" s="11" t="n">
        <v>50</v>
      </c>
      <c r="K5" s="11" t="n">
        <v>30</v>
      </c>
      <c r="L5" s="12" t="n">
        <f aca="false">ROUND(G5*0.5+H5*0.5,0)</f>
        <v>48</v>
      </c>
      <c r="M5" s="12" t="n">
        <f aca="false">ROUND(H5*0.4+(100-K5)*0.3+D5*0.3,0)</f>
        <v>56</v>
      </c>
      <c r="N5" s="12" t="n">
        <f aca="false">ROUND(ABS(F5)*0.4+K5*0.3+(100-G5)*0.3,0)</f>
        <v>33</v>
      </c>
      <c r="O5" s="13" t="s">
        <v>58</v>
      </c>
    </row>
    <row r="6" customFormat="false" ht="16.5" hidden="false" customHeight="true" outlineLevel="0" collapsed="false">
      <c r="A6" s="9" t="s">
        <v>59</v>
      </c>
      <c r="B6" s="10" t="s">
        <v>60</v>
      </c>
      <c r="C6" s="10" t="s">
        <v>51</v>
      </c>
      <c r="D6" s="11" t="n">
        <v>55</v>
      </c>
      <c r="E6" s="11" t="n">
        <v>55</v>
      </c>
      <c r="F6" s="11" t="n">
        <v>8</v>
      </c>
      <c r="G6" s="11" t="n">
        <v>40</v>
      </c>
      <c r="H6" s="11" t="n">
        <v>55</v>
      </c>
      <c r="I6" s="11" t="n">
        <v>40</v>
      </c>
      <c r="J6" s="11" t="n">
        <v>55</v>
      </c>
      <c r="K6" s="11" t="n">
        <v>15</v>
      </c>
      <c r="L6" s="12" t="n">
        <f aca="false">ROUND(G6*0.5+H6*0.5,0)</f>
        <v>48</v>
      </c>
      <c r="M6" s="12" t="n">
        <f aca="false">ROUND(H6*0.4+(100-K6)*0.3+D6*0.3,0)</f>
        <v>64</v>
      </c>
      <c r="N6" s="12" t="n">
        <f aca="false">ROUND(ABS(F6)*0.4+K6*0.3+(100-G6)*0.3,0)</f>
        <v>26</v>
      </c>
      <c r="O6" s="13" t="s">
        <v>61</v>
      </c>
    </row>
    <row r="7" customFormat="false" ht="16.5" hidden="false" customHeight="true" outlineLevel="0" collapsed="false">
      <c r="A7" s="9" t="s">
        <v>62</v>
      </c>
      <c r="B7" s="10" t="s">
        <v>63</v>
      </c>
      <c r="C7" s="10" t="s">
        <v>64</v>
      </c>
      <c r="D7" s="11" t="n">
        <v>70</v>
      </c>
      <c r="E7" s="11" t="n">
        <v>40</v>
      </c>
      <c r="F7" s="11" t="n">
        <v>5</v>
      </c>
      <c r="G7" s="11" t="n">
        <v>45</v>
      </c>
      <c r="H7" s="11" t="n">
        <v>60</v>
      </c>
      <c r="I7" s="11" t="n">
        <v>55</v>
      </c>
      <c r="J7" s="11" t="n">
        <v>55</v>
      </c>
      <c r="K7" s="11" t="n">
        <v>15</v>
      </c>
      <c r="L7" s="12" t="n">
        <f aca="false">ROUND(G7*0.5+H7*0.5,0)</f>
        <v>53</v>
      </c>
      <c r="M7" s="12" t="n">
        <f aca="false">ROUND(H7*0.4+(100-K7)*0.3+D7*0.3,0)</f>
        <v>71</v>
      </c>
      <c r="N7" s="12" t="n">
        <f aca="false">ROUND(ABS(F7)*0.4+K7*0.3+(100-G7)*0.3,0)</f>
        <v>23</v>
      </c>
      <c r="O7" s="13" t="s">
        <v>65</v>
      </c>
    </row>
    <row r="8" customFormat="false" ht="16.5" hidden="false" customHeight="true" outlineLevel="0" collapsed="false">
      <c r="A8" s="9" t="s">
        <v>66</v>
      </c>
      <c r="B8" s="10" t="s">
        <v>67</v>
      </c>
      <c r="C8" s="10" t="s">
        <v>64</v>
      </c>
      <c r="D8" s="11" t="n">
        <v>60</v>
      </c>
      <c r="E8" s="11" t="n">
        <v>45</v>
      </c>
      <c r="F8" s="11" t="n">
        <v>3</v>
      </c>
      <c r="G8" s="11" t="n">
        <v>50</v>
      </c>
      <c r="H8" s="11" t="n">
        <v>50</v>
      </c>
      <c r="I8" s="11" t="n">
        <v>55</v>
      </c>
      <c r="J8" s="11" t="n">
        <v>60</v>
      </c>
      <c r="K8" s="11" t="n">
        <v>20</v>
      </c>
      <c r="L8" s="12" t="n">
        <f aca="false">ROUND(G8*0.5+H8*0.5,0)</f>
        <v>50</v>
      </c>
      <c r="M8" s="12" t="n">
        <f aca="false">ROUND(H8*0.4+(100-K8)*0.3+D8*0.3,0)</f>
        <v>62</v>
      </c>
      <c r="N8" s="12" t="n">
        <f aca="false">ROUND(ABS(F8)*0.4+K8*0.3+(100-G8)*0.3,0)</f>
        <v>22</v>
      </c>
      <c r="O8" s="13" t="s">
        <v>68</v>
      </c>
    </row>
    <row r="9" customFormat="false" ht="16.5" hidden="false" customHeight="true" outlineLevel="0" collapsed="false">
      <c r="A9" s="9" t="s">
        <v>69</v>
      </c>
      <c r="B9" s="10" t="s">
        <v>70</v>
      </c>
      <c r="C9" s="10" t="s">
        <v>64</v>
      </c>
      <c r="D9" s="11" t="n">
        <v>58</v>
      </c>
      <c r="E9" s="11" t="n">
        <v>55</v>
      </c>
      <c r="F9" s="11" t="n">
        <v>4</v>
      </c>
      <c r="G9" s="11" t="n">
        <v>45</v>
      </c>
      <c r="H9" s="11" t="n">
        <v>55</v>
      </c>
      <c r="I9" s="11" t="n">
        <v>50</v>
      </c>
      <c r="J9" s="11" t="n">
        <v>55</v>
      </c>
      <c r="K9" s="11" t="n">
        <v>25</v>
      </c>
      <c r="L9" s="12" t="n">
        <f aca="false">ROUND(G9*0.5+H9*0.5,0)</f>
        <v>50</v>
      </c>
      <c r="M9" s="12" t="n">
        <f aca="false">ROUND(H9*0.4+(100-K9)*0.3+D9*0.3,0)</f>
        <v>62</v>
      </c>
      <c r="N9" s="12" t="n">
        <f aca="false">ROUND(ABS(F9)*0.4+K9*0.3+(100-G9)*0.3,0)</f>
        <v>26</v>
      </c>
      <c r="O9" s="13" t="s">
        <v>71</v>
      </c>
    </row>
    <row r="10" customFormat="false" ht="16.5" hidden="false" customHeight="true" outlineLevel="0" collapsed="false">
      <c r="A10" s="9" t="s">
        <v>72</v>
      </c>
      <c r="B10" s="10" t="s">
        <v>73</v>
      </c>
      <c r="C10" s="10" t="s">
        <v>74</v>
      </c>
      <c r="D10" s="11" t="n">
        <v>75</v>
      </c>
      <c r="E10" s="11" t="n">
        <v>30</v>
      </c>
      <c r="F10" s="11" t="n">
        <v>2</v>
      </c>
      <c r="G10" s="11" t="n">
        <v>60</v>
      </c>
      <c r="H10" s="11" t="n">
        <v>65</v>
      </c>
      <c r="I10" s="11" t="n">
        <v>60</v>
      </c>
      <c r="J10" s="11" t="n">
        <v>60</v>
      </c>
      <c r="K10" s="11" t="n">
        <v>20</v>
      </c>
      <c r="L10" s="12" t="n">
        <f aca="false">ROUND(G10*0.5+H10*0.5,0)</f>
        <v>63</v>
      </c>
      <c r="M10" s="12" t="n">
        <f aca="false">ROUND(H10*0.4+(100-K10)*0.3+D10*0.3,0)</f>
        <v>73</v>
      </c>
      <c r="N10" s="12" t="n">
        <f aca="false">ROUND(ABS(F10)*0.4+K10*0.3+(100-G10)*0.3,0)</f>
        <v>19</v>
      </c>
      <c r="O10" s="13" t="s">
        <v>75</v>
      </c>
    </row>
    <row r="11" customFormat="false" ht="16.5" hidden="false" customHeight="true" outlineLevel="0" collapsed="false">
      <c r="A11" s="9" t="s">
        <v>76</v>
      </c>
      <c r="B11" s="10" t="s">
        <v>77</v>
      </c>
      <c r="C11" s="10" t="s">
        <v>74</v>
      </c>
      <c r="D11" s="11" t="n">
        <v>65</v>
      </c>
      <c r="E11" s="11" t="n">
        <v>60</v>
      </c>
      <c r="F11" s="11" t="n">
        <v>6</v>
      </c>
      <c r="G11" s="11" t="n">
        <v>50</v>
      </c>
      <c r="H11" s="11" t="n">
        <v>60</v>
      </c>
      <c r="I11" s="11" t="n">
        <v>50</v>
      </c>
      <c r="J11" s="11" t="n">
        <v>55</v>
      </c>
      <c r="K11" s="11" t="n">
        <v>35</v>
      </c>
      <c r="L11" s="12" t="n">
        <f aca="false">ROUND(G11*0.5+H11*0.5,0)</f>
        <v>55</v>
      </c>
      <c r="M11" s="12" t="n">
        <f aca="false">ROUND(H11*0.4+(100-K11)*0.3+D11*0.3,0)</f>
        <v>63</v>
      </c>
      <c r="N11" s="12" t="n">
        <f aca="false">ROUND(ABS(F11)*0.4+K11*0.3+(100-G11)*0.3,0)</f>
        <v>28</v>
      </c>
      <c r="O11" s="13" t="s">
        <v>78</v>
      </c>
    </row>
    <row r="12" customFormat="false" ht="16.5" hidden="false" customHeight="true" outlineLevel="0" collapsed="false">
      <c r="A12" s="9" t="s">
        <v>79</v>
      </c>
      <c r="B12" s="10" t="s">
        <v>80</v>
      </c>
      <c r="C12" s="10" t="s">
        <v>74</v>
      </c>
      <c r="D12" s="11" t="n">
        <v>60</v>
      </c>
      <c r="E12" s="11" t="n">
        <v>10</v>
      </c>
      <c r="F12" s="11" t="n">
        <v>0</v>
      </c>
      <c r="G12" s="11" t="n">
        <v>65</v>
      </c>
      <c r="H12" s="11" t="n">
        <v>45</v>
      </c>
      <c r="I12" s="11" t="n">
        <v>70</v>
      </c>
      <c r="J12" s="11" t="n">
        <v>65</v>
      </c>
      <c r="K12" s="11" t="n">
        <v>30</v>
      </c>
      <c r="L12" s="12" t="n">
        <f aca="false">ROUND(G12*0.5+H12*0.5,0)</f>
        <v>55</v>
      </c>
      <c r="M12" s="12" t="n">
        <f aca="false">ROUND(H12*0.4+(100-K12)*0.3+D12*0.3,0)</f>
        <v>57</v>
      </c>
      <c r="N12" s="12" t="n">
        <f aca="false">ROUND(ABS(F12)*0.4+K12*0.3+(100-G12)*0.3,0)</f>
        <v>20</v>
      </c>
      <c r="O12" s="13" t="s">
        <v>81</v>
      </c>
    </row>
    <row r="13" customFormat="false" ht="16.5" hidden="false" customHeight="true" outlineLevel="0" collapsed="false">
      <c r="A13" s="9" t="s">
        <v>82</v>
      </c>
      <c r="B13" s="10" t="s">
        <v>83</v>
      </c>
      <c r="C13" s="10" t="s">
        <v>84</v>
      </c>
      <c r="D13" s="11" t="n">
        <v>60</v>
      </c>
      <c r="E13" s="11" t="n">
        <v>40</v>
      </c>
      <c r="F13" s="11" t="n">
        <v>5</v>
      </c>
      <c r="G13" s="11" t="n">
        <v>45</v>
      </c>
      <c r="H13" s="11" t="n">
        <v>55</v>
      </c>
      <c r="I13" s="11" t="n">
        <v>55</v>
      </c>
      <c r="J13" s="11" t="n">
        <v>55</v>
      </c>
      <c r="K13" s="11" t="n">
        <v>15</v>
      </c>
      <c r="L13" s="12" t="n">
        <f aca="false">ROUND(G13*0.5+H13*0.5,0)</f>
        <v>50</v>
      </c>
      <c r="M13" s="12" t="n">
        <f aca="false">ROUND(H13*0.4+(100-K13)*0.3+D13*0.3,0)</f>
        <v>66</v>
      </c>
      <c r="N13" s="12" t="n">
        <f aca="false">ROUND(ABS(F13)*0.4+K13*0.3+(100-G13)*0.3,0)</f>
        <v>23</v>
      </c>
      <c r="O13" s="13" t="s">
        <v>85</v>
      </c>
    </row>
    <row r="14" customFormat="false" ht="16.5" hidden="false" customHeight="true" outlineLevel="0" collapsed="false">
      <c r="A14" s="9" t="s">
        <v>86</v>
      </c>
      <c r="B14" s="10" t="s">
        <v>87</v>
      </c>
      <c r="C14" s="10" t="s">
        <v>84</v>
      </c>
      <c r="D14" s="11" t="n">
        <v>70</v>
      </c>
      <c r="E14" s="11" t="n">
        <v>35</v>
      </c>
      <c r="F14" s="11" t="n">
        <v>3</v>
      </c>
      <c r="G14" s="11" t="n">
        <v>50</v>
      </c>
      <c r="H14" s="11" t="n">
        <v>55</v>
      </c>
      <c r="I14" s="11" t="n">
        <v>55</v>
      </c>
      <c r="J14" s="11" t="n">
        <v>55</v>
      </c>
      <c r="K14" s="11" t="n">
        <v>20</v>
      </c>
      <c r="L14" s="12" t="n">
        <f aca="false">ROUND(G14*0.5+H14*0.5,0)</f>
        <v>53</v>
      </c>
      <c r="M14" s="12" t="n">
        <f aca="false">ROUND(H14*0.4+(100-K14)*0.3+D14*0.3,0)</f>
        <v>67</v>
      </c>
      <c r="N14" s="12" t="n">
        <f aca="false">ROUND(ABS(F14)*0.4+K14*0.3+(100-G14)*0.3,0)</f>
        <v>22</v>
      </c>
      <c r="O14" s="13" t="s">
        <v>88</v>
      </c>
    </row>
    <row r="15" customFormat="false" ht="16.5" hidden="false" customHeight="true" outlineLevel="0" collapsed="false">
      <c r="A15" s="9" t="s">
        <v>89</v>
      </c>
      <c r="B15" s="10" t="s">
        <v>90</v>
      </c>
      <c r="C15" s="10" t="s">
        <v>90</v>
      </c>
      <c r="D15" s="11" t="n">
        <v>20</v>
      </c>
      <c r="E15" s="11" t="n">
        <v>10</v>
      </c>
      <c r="F15" s="11" t="n">
        <v>90</v>
      </c>
      <c r="G15" s="11" t="n">
        <v>25</v>
      </c>
      <c r="H15" s="11" t="n">
        <v>75</v>
      </c>
      <c r="I15" s="11" t="n">
        <v>60</v>
      </c>
      <c r="J15" s="11" t="n">
        <v>50</v>
      </c>
      <c r="K15" s="11" t="n">
        <v>20</v>
      </c>
      <c r="L15" s="12" t="n">
        <f aca="false">ROUND(G15*0.5+H15*0.5,0)</f>
        <v>50</v>
      </c>
      <c r="M15" s="12" t="n">
        <f aca="false">ROUND(H15*0.4+(100-K15)*0.3+D15*0.3,0)</f>
        <v>60</v>
      </c>
      <c r="N15" s="12" t="n">
        <f aca="false">ROUND(ABS(F15)*0.4+K15*0.3+(100-G15)*0.3,0)</f>
        <v>65</v>
      </c>
      <c r="O15" s="13" t="s">
        <v>91</v>
      </c>
    </row>
    <row r="16" customFormat="false" ht="16.5" hidden="false" customHeight="true" outlineLevel="0" collapsed="false">
      <c r="A16" s="9" t="s">
        <v>92</v>
      </c>
      <c r="B16" s="10" t="s">
        <v>93</v>
      </c>
      <c r="C16" s="10" t="s">
        <v>90</v>
      </c>
      <c r="D16" s="11" t="n">
        <v>5</v>
      </c>
      <c r="E16" s="11" t="n">
        <v>5</v>
      </c>
      <c r="F16" s="11" t="n">
        <v>100</v>
      </c>
      <c r="G16" s="11" t="n">
        <v>20</v>
      </c>
      <c r="H16" s="11" t="n">
        <v>80</v>
      </c>
      <c r="I16" s="11" t="n">
        <v>70</v>
      </c>
      <c r="J16" s="11" t="n">
        <v>55</v>
      </c>
      <c r="K16" s="11" t="n">
        <v>30</v>
      </c>
      <c r="L16" s="12" t="n">
        <f aca="false">ROUND(G16*0.5+H16*0.5,0)</f>
        <v>50</v>
      </c>
      <c r="M16" s="12" t="n">
        <f aca="false">ROUND(H16*0.4+(100-K16)*0.3+D16*0.3,0)</f>
        <v>55</v>
      </c>
      <c r="N16" s="12" t="n">
        <f aca="false">ROUND(ABS(F16)*0.4+K16*0.3+(100-G16)*0.3,0)</f>
        <v>73</v>
      </c>
      <c r="O16" s="13" t="s">
        <v>94</v>
      </c>
    </row>
    <row r="17" customFormat="false" ht="16.5" hidden="false" customHeight="true" outlineLevel="0" collapsed="false">
      <c r="A17" s="9" t="s">
        <v>95</v>
      </c>
      <c r="B17" s="10" t="s">
        <v>96</v>
      </c>
      <c r="C17" s="10" t="s">
        <v>97</v>
      </c>
      <c r="D17" s="11" t="n">
        <v>80</v>
      </c>
      <c r="E17" s="11" t="n">
        <v>5</v>
      </c>
      <c r="F17" s="11" t="n">
        <v>-5</v>
      </c>
      <c r="G17" s="11" t="n">
        <v>70</v>
      </c>
      <c r="H17" s="11" t="n">
        <v>40</v>
      </c>
      <c r="I17" s="11" t="n">
        <v>75</v>
      </c>
      <c r="J17" s="11" t="n">
        <v>70</v>
      </c>
      <c r="K17" s="11" t="n">
        <v>15</v>
      </c>
      <c r="L17" s="12" t="n">
        <f aca="false">ROUND(G17*0.5+H17*0.5,0)</f>
        <v>55</v>
      </c>
      <c r="M17" s="12" t="n">
        <f aca="false">ROUND(H17*0.4+(100-K17)*0.3+D17*0.3,0)</f>
        <v>66</v>
      </c>
      <c r="N17" s="12" t="n">
        <f aca="false">ROUND(ABS(F17)*0.4+K17*0.3+(100-G17)*0.3,0)</f>
        <v>16</v>
      </c>
      <c r="O17" s="13" t="s">
        <v>98</v>
      </c>
    </row>
    <row r="18" customFormat="false" ht="16.5" hidden="false" customHeight="true" outlineLevel="0" collapsed="false">
      <c r="A18" s="9" t="s">
        <v>99</v>
      </c>
      <c r="B18" s="10" t="s">
        <v>100</v>
      </c>
      <c r="C18" s="10" t="s">
        <v>97</v>
      </c>
      <c r="D18" s="11" t="n">
        <v>78</v>
      </c>
      <c r="E18" s="11" t="n">
        <v>5</v>
      </c>
      <c r="F18" s="11" t="n">
        <v>-10</v>
      </c>
      <c r="G18" s="11" t="n">
        <v>80</v>
      </c>
      <c r="H18" s="11" t="n">
        <v>55</v>
      </c>
      <c r="I18" s="11" t="n">
        <v>75</v>
      </c>
      <c r="J18" s="11" t="n">
        <v>65</v>
      </c>
      <c r="K18" s="11" t="n">
        <v>25</v>
      </c>
      <c r="L18" s="12" t="n">
        <f aca="false">ROUND(G18*0.5+H18*0.5,0)</f>
        <v>68</v>
      </c>
      <c r="M18" s="12" t="n">
        <f aca="false">ROUND(H18*0.4+(100-K18)*0.3+D18*0.3,0)</f>
        <v>68</v>
      </c>
      <c r="N18" s="12" t="n">
        <f aca="false">ROUND(ABS(F18)*0.4+K18*0.3+(100-G18)*0.3,0)</f>
        <v>18</v>
      </c>
      <c r="O18" s="13" t="s">
        <v>101</v>
      </c>
    </row>
    <row r="19" customFormat="false" ht="16.5" hidden="false" customHeight="true" outlineLevel="0" collapsed="false">
      <c r="A19" s="9" t="s">
        <v>102</v>
      </c>
      <c r="B19" s="10" t="s">
        <v>103</v>
      </c>
      <c r="C19" s="10" t="s">
        <v>97</v>
      </c>
      <c r="D19" s="11" t="n">
        <v>85</v>
      </c>
      <c r="E19" s="11" t="n">
        <v>8</v>
      </c>
      <c r="F19" s="11" t="n">
        <v>-5</v>
      </c>
      <c r="G19" s="11" t="n">
        <v>55</v>
      </c>
      <c r="H19" s="11" t="n">
        <v>30</v>
      </c>
      <c r="I19" s="11" t="n">
        <v>70</v>
      </c>
      <c r="J19" s="11" t="n">
        <v>60</v>
      </c>
      <c r="K19" s="11" t="n">
        <v>10</v>
      </c>
      <c r="L19" s="12" t="n">
        <f aca="false">ROUND(G19*0.5+H19*0.5,0)</f>
        <v>43</v>
      </c>
      <c r="M19" s="12" t="n">
        <f aca="false">ROUND(H19*0.4+(100-K19)*0.3+D19*0.3,0)</f>
        <v>65</v>
      </c>
      <c r="N19" s="12" t="n">
        <f aca="false">ROUND(ABS(F19)*0.4+K19*0.3+(100-G19)*0.3,0)</f>
        <v>19</v>
      </c>
      <c r="O19" s="13" t="s">
        <v>104</v>
      </c>
    </row>
    <row r="20" customFormat="false" ht="16.5" hidden="false" customHeight="true" outlineLevel="0" collapsed="false">
      <c r="A20" s="9" t="s">
        <v>105</v>
      </c>
      <c r="B20" s="10" t="s">
        <v>106</v>
      </c>
      <c r="C20" s="10" t="s">
        <v>107</v>
      </c>
      <c r="D20" s="11" t="n">
        <v>45</v>
      </c>
      <c r="E20" s="11" t="n">
        <v>10</v>
      </c>
      <c r="F20" s="11" t="n">
        <v>-60</v>
      </c>
      <c r="G20" s="11" t="n">
        <v>55</v>
      </c>
      <c r="H20" s="11" t="n">
        <v>70</v>
      </c>
      <c r="I20" s="11" t="n">
        <v>65</v>
      </c>
      <c r="J20" s="11" t="n">
        <v>55</v>
      </c>
      <c r="K20" s="11" t="n">
        <v>55</v>
      </c>
      <c r="L20" s="12" t="n">
        <f aca="false">ROUND(G20*0.5+H20*0.5,0)</f>
        <v>63</v>
      </c>
      <c r="M20" s="12" t="n">
        <f aca="false">ROUND(H20*0.4+(100-K20)*0.3+D20*0.3,0)</f>
        <v>55</v>
      </c>
      <c r="N20" s="12" t="n">
        <f aca="false">ROUND(ABS(F20)*0.4+K20*0.3+(100-G20)*0.3,0)</f>
        <v>54</v>
      </c>
      <c r="O20" s="13" t="s">
        <v>108</v>
      </c>
    </row>
    <row r="21" customFormat="false" ht="16.5" hidden="false" customHeight="true" outlineLevel="0" collapsed="false">
      <c r="A21" s="9" t="s">
        <v>109</v>
      </c>
      <c r="B21" s="10" t="s">
        <v>110</v>
      </c>
      <c r="C21" s="10" t="s">
        <v>107</v>
      </c>
      <c r="D21" s="11" t="n">
        <v>30</v>
      </c>
      <c r="E21" s="11" t="n">
        <v>20</v>
      </c>
      <c r="F21" s="11" t="n">
        <v>-40</v>
      </c>
      <c r="G21" s="11" t="n">
        <v>50</v>
      </c>
      <c r="H21" s="11" t="n">
        <v>65</v>
      </c>
      <c r="I21" s="11" t="n">
        <v>60</v>
      </c>
      <c r="J21" s="11" t="n">
        <v>55</v>
      </c>
      <c r="K21" s="11" t="n">
        <v>60</v>
      </c>
      <c r="L21" s="12" t="n">
        <f aca="false">ROUND(G21*0.5+H21*0.5,0)</f>
        <v>58</v>
      </c>
      <c r="M21" s="12" t="n">
        <f aca="false">ROUND(H21*0.4+(100-K21)*0.3+D21*0.3,0)</f>
        <v>47</v>
      </c>
      <c r="N21" s="12" t="n">
        <f aca="false">ROUND(ABS(F21)*0.4+K21*0.3+(100-G21)*0.3,0)</f>
        <v>49</v>
      </c>
      <c r="O21" s="13" t="s">
        <v>111</v>
      </c>
    </row>
    <row r="22" customFormat="false" ht="16.5" hidden="false" customHeight="true" outlineLevel="0" collapsed="false">
      <c r="A22" s="9" t="s">
        <v>112</v>
      </c>
      <c r="B22" s="10" t="s">
        <v>113</v>
      </c>
      <c r="C22" s="10" t="s">
        <v>114</v>
      </c>
      <c r="D22" s="11" t="n">
        <v>55</v>
      </c>
      <c r="E22" s="11" t="n">
        <v>15</v>
      </c>
      <c r="F22" s="11" t="n">
        <v>5</v>
      </c>
      <c r="G22" s="11" t="n">
        <v>45</v>
      </c>
      <c r="H22" s="11" t="n">
        <v>65</v>
      </c>
      <c r="I22" s="11" t="n">
        <v>50</v>
      </c>
      <c r="J22" s="11" t="n">
        <v>55</v>
      </c>
      <c r="K22" s="11" t="n">
        <v>55</v>
      </c>
      <c r="L22" s="12" t="n">
        <f aca="false">ROUND(G22*0.5+H22*0.5,0)</f>
        <v>55</v>
      </c>
      <c r="M22" s="12" t="n">
        <f aca="false">ROUND(H22*0.4+(100-K22)*0.3+D22*0.3,0)</f>
        <v>56</v>
      </c>
      <c r="N22" s="12" t="n">
        <f aca="false">ROUND(ABS(F22)*0.4+K22*0.3+(100-G22)*0.3,0)</f>
        <v>35</v>
      </c>
      <c r="O22" s="13" t="s">
        <v>115</v>
      </c>
    </row>
    <row r="23" customFormat="false" ht="16.5" hidden="false" customHeight="true" outlineLevel="0" collapsed="false">
      <c r="A23" s="9" t="s">
        <v>116</v>
      </c>
      <c r="B23" s="10" t="s">
        <v>117</v>
      </c>
      <c r="C23" s="10" t="s">
        <v>114</v>
      </c>
      <c r="D23" s="11" t="n">
        <v>50</v>
      </c>
      <c r="E23" s="11" t="n">
        <v>20</v>
      </c>
      <c r="F23" s="11" t="n">
        <v>8</v>
      </c>
      <c r="G23" s="11" t="n">
        <v>40</v>
      </c>
      <c r="H23" s="11" t="n">
        <v>60</v>
      </c>
      <c r="I23" s="11" t="n">
        <v>50</v>
      </c>
      <c r="J23" s="11" t="n">
        <v>55</v>
      </c>
      <c r="K23" s="11" t="n">
        <v>50</v>
      </c>
      <c r="L23" s="12" t="n">
        <f aca="false">ROUND(G23*0.5+H23*0.5,0)</f>
        <v>50</v>
      </c>
      <c r="M23" s="12" t="n">
        <f aca="false">ROUND(H23*0.4+(100-K23)*0.3+D23*0.3,0)</f>
        <v>54</v>
      </c>
      <c r="N23" s="12" t="n">
        <f aca="false">ROUND(ABS(F23)*0.4+K23*0.3+(100-G23)*0.3,0)</f>
        <v>36</v>
      </c>
      <c r="O23" s="13" t="s">
        <v>118</v>
      </c>
    </row>
    <row r="24" customFormat="false" ht="16.5" hidden="false" customHeight="true" outlineLevel="0" collapsed="false">
      <c r="A24" s="9" t="s">
        <v>119</v>
      </c>
      <c r="B24" s="10" t="s">
        <v>120</v>
      </c>
      <c r="C24" s="10" t="s">
        <v>121</v>
      </c>
      <c r="D24" s="11" t="n">
        <v>45</v>
      </c>
      <c r="E24" s="11" t="n">
        <v>25</v>
      </c>
      <c r="F24" s="11" t="n">
        <v>5</v>
      </c>
      <c r="G24" s="11" t="n">
        <v>50</v>
      </c>
      <c r="H24" s="11" t="n">
        <v>55</v>
      </c>
      <c r="I24" s="11" t="n">
        <v>55</v>
      </c>
      <c r="J24" s="11" t="n">
        <v>55</v>
      </c>
      <c r="K24" s="11" t="n">
        <v>30</v>
      </c>
      <c r="L24" s="12" t="n">
        <f aca="false">ROUND(G24*0.5+H24*0.5,0)</f>
        <v>53</v>
      </c>
      <c r="M24" s="12" t="n">
        <f aca="false">ROUND(H24*0.4+(100-K24)*0.3+D24*0.3,0)</f>
        <v>57</v>
      </c>
      <c r="N24" s="12" t="n">
        <f aca="false">ROUND(ABS(F24)*0.4+K24*0.3+(100-G24)*0.3,0)</f>
        <v>26</v>
      </c>
      <c r="O24" s="13" t="s">
        <v>122</v>
      </c>
    </row>
    <row r="25" customFormat="false" ht="16.5" hidden="false" customHeight="true" outlineLevel="0" collapsed="false">
      <c r="A25" s="9" t="s">
        <v>123</v>
      </c>
      <c r="B25" s="10" t="s">
        <v>124</v>
      </c>
      <c r="C25" s="10" t="s">
        <v>125</v>
      </c>
      <c r="D25" s="11" t="n">
        <v>82</v>
      </c>
      <c r="E25" s="11" t="n">
        <v>15</v>
      </c>
      <c r="F25" s="11" t="n">
        <v>2</v>
      </c>
      <c r="G25" s="11" t="n">
        <v>50</v>
      </c>
      <c r="H25" s="11" t="n">
        <v>70</v>
      </c>
      <c r="I25" s="11" t="n">
        <v>55</v>
      </c>
      <c r="J25" s="11" t="n">
        <v>50</v>
      </c>
      <c r="K25" s="11" t="n">
        <v>45</v>
      </c>
      <c r="L25" s="12" t="n">
        <f aca="false">ROUND(G25*0.5+H25*0.5,0)</f>
        <v>60</v>
      </c>
      <c r="M25" s="12" t="n">
        <f aca="false">ROUND(H25*0.4+(100-K25)*0.3+D25*0.3,0)</f>
        <v>69</v>
      </c>
      <c r="N25" s="12" t="n">
        <f aca="false">ROUND(ABS(F25)*0.4+K25*0.3+(100-G25)*0.3,0)</f>
        <v>29</v>
      </c>
      <c r="O25" s="13" t="s">
        <v>126</v>
      </c>
    </row>
    <row r="26" customFormat="false" ht="16.5" hidden="false" customHeight="true" outlineLevel="0" collapsed="false">
      <c r="A26" s="9" t="s">
        <v>127</v>
      </c>
      <c r="B26" s="10" t="s">
        <v>128</v>
      </c>
      <c r="C26" s="10" t="s">
        <v>129</v>
      </c>
      <c r="D26" s="11" t="n">
        <v>55</v>
      </c>
      <c r="E26" s="11" t="n">
        <v>20</v>
      </c>
      <c r="F26" s="11" t="n">
        <v>-10</v>
      </c>
      <c r="G26" s="11" t="n">
        <v>70</v>
      </c>
      <c r="H26" s="11" t="n">
        <v>75</v>
      </c>
      <c r="I26" s="11" t="n">
        <v>70</v>
      </c>
      <c r="J26" s="11" t="n">
        <v>75</v>
      </c>
      <c r="K26" s="11" t="n">
        <v>40</v>
      </c>
      <c r="L26" s="12" t="n">
        <f aca="false">ROUND(G26*0.5+H26*0.5,0)</f>
        <v>73</v>
      </c>
      <c r="M26" s="12" t="n">
        <f aca="false">ROUND(H26*0.4+(100-K26)*0.3+D26*0.3,0)</f>
        <v>65</v>
      </c>
      <c r="N26" s="12" t="n">
        <f aca="false">ROUND(ABS(F26)*0.4+K26*0.3+(100-G26)*0.3,0)</f>
        <v>25</v>
      </c>
      <c r="O26" s="13" t="s">
        <v>130</v>
      </c>
    </row>
    <row r="27" customFormat="false" ht="17.15" hidden="false" customHeight="false" outlineLevel="0" collapsed="false">
      <c r="A27" s="9" t="s">
        <v>131</v>
      </c>
      <c r="B27" s="10" t="s">
        <v>132</v>
      </c>
      <c r="C27" s="10" t="s">
        <v>74</v>
      </c>
      <c r="D27" s="11" t="n">
        <v>70</v>
      </c>
      <c r="E27" s="11" t="n">
        <v>40</v>
      </c>
      <c r="F27" s="11" t="n">
        <v>3</v>
      </c>
      <c r="G27" s="11" t="n">
        <v>55</v>
      </c>
      <c r="H27" s="11" t="n">
        <v>60</v>
      </c>
      <c r="I27" s="11" t="n">
        <v>55</v>
      </c>
      <c r="J27" s="11" t="n">
        <v>55</v>
      </c>
      <c r="K27" s="11" t="n">
        <v>25</v>
      </c>
      <c r="L27" s="12" t="n">
        <f aca="false">ROUND(G27*0.5+H27*0.5,0)</f>
        <v>58</v>
      </c>
      <c r="M27" s="12" t="n">
        <f aca="false">ROUND(H27*0.4+(100-K27)*0.3+D27*0.3,0)</f>
        <v>68</v>
      </c>
      <c r="N27" s="12" t="n">
        <f aca="false">ROUND(ABS(F27)*0.4+K27*0.3+(100-G27)*0.3,0)</f>
        <v>22</v>
      </c>
      <c r="O27" s="13" t="s">
        <v>133</v>
      </c>
    </row>
    <row r="28" customFormat="false" ht="17.15" hidden="false" customHeight="false" outlineLevel="0" collapsed="false">
      <c r="A28" s="9" t="s">
        <v>134</v>
      </c>
      <c r="B28" s="10" t="s">
        <v>135</v>
      </c>
      <c r="C28" s="10" t="s">
        <v>74</v>
      </c>
      <c r="D28" s="11" t="n">
        <v>72</v>
      </c>
      <c r="E28" s="11" t="n">
        <v>35</v>
      </c>
      <c r="F28" s="11" t="n">
        <v>2</v>
      </c>
      <c r="G28" s="11" t="n">
        <v>58</v>
      </c>
      <c r="H28" s="11" t="n">
        <v>55</v>
      </c>
      <c r="I28" s="11" t="n">
        <v>55</v>
      </c>
      <c r="J28" s="11" t="n">
        <v>58</v>
      </c>
      <c r="K28" s="11" t="n">
        <v>30</v>
      </c>
      <c r="L28" s="12" t="n">
        <f aca="false">ROUND(G28*0.5+H28*0.5,0)</f>
        <v>57</v>
      </c>
      <c r="M28" s="12" t="n">
        <f aca="false">ROUND(H28*0.4+(100-K28)*0.3+D28*0.3,0)</f>
        <v>65</v>
      </c>
      <c r="N28" s="12" t="n">
        <f aca="false">ROUND(ABS(F28)*0.4+K28*0.3+(100-G28)*0.3,0)</f>
        <v>22</v>
      </c>
      <c r="O28" s="13" t="s">
        <v>136</v>
      </c>
    </row>
    <row r="29" customFormat="false" ht="32.8" hidden="false" customHeight="false" outlineLevel="0" collapsed="false">
      <c r="A29" s="9" t="s">
        <v>137</v>
      </c>
      <c r="B29" s="10" t="s">
        <v>138</v>
      </c>
      <c r="C29" s="10" t="s">
        <v>74</v>
      </c>
      <c r="D29" s="11" t="n">
        <v>60</v>
      </c>
      <c r="E29" s="11" t="n">
        <v>25</v>
      </c>
      <c r="F29" s="11" t="n">
        <v>4</v>
      </c>
      <c r="G29" s="11" t="n">
        <v>50</v>
      </c>
      <c r="H29" s="11" t="n">
        <v>50</v>
      </c>
      <c r="I29" s="11" t="n">
        <v>55</v>
      </c>
      <c r="J29" s="11" t="n">
        <v>55</v>
      </c>
      <c r="K29" s="11" t="n">
        <v>35</v>
      </c>
      <c r="L29" s="12" t="n">
        <f aca="false">ROUND(G29*0.5+H29*0.5,0)</f>
        <v>50</v>
      </c>
      <c r="M29" s="12" t="n">
        <f aca="false">ROUND(H29*0.4+(100-K29)*0.3+D29*0.3,0)</f>
        <v>58</v>
      </c>
      <c r="N29" s="12" t="n">
        <f aca="false">ROUND(ABS(F29)*0.4+K29*0.3+(100-G29)*0.3,0)</f>
        <v>27</v>
      </c>
      <c r="O29" s="13" t="s">
        <v>139</v>
      </c>
    </row>
    <row r="30" customFormat="false" ht="17.15" hidden="false" customHeight="false" outlineLevel="0" collapsed="false">
      <c r="A30" s="9" t="s">
        <v>140</v>
      </c>
      <c r="B30" s="10" t="s">
        <v>141</v>
      </c>
      <c r="C30" s="10" t="s">
        <v>74</v>
      </c>
      <c r="D30" s="11" t="n">
        <v>72</v>
      </c>
      <c r="E30" s="11" t="n">
        <v>22</v>
      </c>
      <c r="F30" s="11" t="n">
        <v>5</v>
      </c>
      <c r="G30" s="11" t="n">
        <v>45</v>
      </c>
      <c r="H30" s="11" t="n">
        <v>55</v>
      </c>
      <c r="I30" s="11" t="n">
        <v>52</v>
      </c>
      <c r="J30" s="11" t="n">
        <v>55</v>
      </c>
      <c r="K30" s="11" t="n">
        <v>30</v>
      </c>
      <c r="L30" s="12" t="n">
        <f aca="false">ROUND(G30*0.5+H30*0.5,0)</f>
        <v>50</v>
      </c>
      <c r="M30" s="12" t="n">
        <f aca="false">ROUND(H30*0.4+(100-K30)*0.3+D30*0.3,0)</f>
        <v>65</v>
      </c>
      <c r="N30" s="12" t="n">
        <f aca="false">ROUND(ABS(F30)*0.4+K30*0.3+(100-G30)*0.3,0)</f>
        <v>28</v>
      </c>
      <c r="O30" s="13" t="s">
        <v>142</v>
      </c>
    </row>
    <row r="31" customFormat="false" ht="17.15" hidden="false" customHeight="false" outlineLevel="0" collapsed="false">
      <c r="A31" s="9" t="s">
        <v>143</v>
      </c>
      <c r="B31" s="10" t="s">
        <v>144</v>
      </c>
      <c r="C31" s="10" t="s">
        <v>74</v>
      </c>
      <c r="D31" s="11" t="n">
        <v>78</v>
      </c>
      <c r="E31" s="11" t="n">
        <v>8</v>
      </c>
      <c r="F31" s="11" t="n">
        <v>0</v>
      </c>
      <c r="G31" s="11" t="n">
        <v>68</v>
      </c>
      <c r="H31" s="11" t="n">
        <v>45</v>
      </c>
      <c r="I31" s="11" t="n">
        <v>72</v>
      </c>
      <c r="J31" s="11" t="n">
        <v>68</v>
      </c>
      <c r="K31" s="11" t="n">
        <v>20</v>
      </c>
      <c r="L31" s="12" t="n">
        <f aca="false">ROUND(G31*0.5+H31*0.5,0)</f>
        <v>57</v>
      </c>
      <c r="M31" s="12" t="n">
        <f aca="false">ROUND(H31*0.4+(100-K31)*0.3+D31*0.3,0)</f>
        <v>65</v>
      </c>
      <c r="N31" s="12" t="n">
        <f aca="false">ROUND(ABS(F31)*0.4+K31*0.3+(100-G31)*0.3,0)</f>
        <v>16</v>
      </c>
      <c r="O31" s="13" t="s">
        <v>145</v>
      </c>
    </row>
    <row r="32" customFormat="false" ht="17.15" hidden="false" customHeight="false" outlineLevel="0" collapsed="false">
      <c r="A32" s="9" t="s">
        <v>146</v>
      </c>
      <c r="B32" s="10" t="s">
        <v>147</v>
      </c>
      <c r="C32" s="10" t="s">
        <v>84</v>
      </c>
      <c r="D32" s="11" t="n">
        <v>75</v>
      </c>
      <c r="E32" s="11" t="n">
        <v>30</v>
      </c>
      <c r="F32" s="11" t="n">
        <v>3</v>
      </c>
      <c r="G32" s="11" t="n">
        <v>52</v>
      </c>
      <c r="H32" s="11" t="n">
        <v>58</v>
      </c>
      <c r="I32" s="11" t="n">
        <v>55</v>
      </c>
      <c r="J32" s="11" t="n">
        <v>56</v>
      </c>
      <c r="K32" s="11" t="n">
        <v>20</v>
      </c>
      <c r="L32" s="12" t="n">
        <f aca="false">ROUND(G32*0.5+H32*0.5,0)</f>
        <v>55</v>
      </c>
      <c r="M32" s="12" t="n">
        <f aca="false">ROUND(H32*0.4+(100-K32)*0.3+D32*0.3,0)</f>
        <v>70</v>
      </c>
      <c r="N32" s="12" t="n">
        <f aca="false">ROUND(ABS(F32)*0.4+K32*0.3+(100-G32)*0.3,0)</f>
        <v>22</v>
      </c>
      <c r="O32" s="13" t="s">
        <v>148</v>
      </c>
    </row>
    <row r="33" customFormat="false" ht="17.15" hidden="false" customHeight="false" outlineLevel="0" collapsed="false">
      <c r="A33" s="9" t="s">
        <v>149</v>
      </c>
      <c r="B33" s="10" t="s">
        <v>150</v>
      </c>
      <c r="C33" s="10" t="s">
        <v>84</v>
      </c>
      <c r="D33" s="11" t="n">
        <v>72</v>
      </c>
      <c r="E33" s="11" t="n">
        <v>22</v>
      </c>
      <c r="F33" s="11" t="n">
        <v>4</v>
      </c>
      <c r="G33" s="11" t="n">
        <v>55</v>
      </c>
      <c r="H33" s="11" t="n">
        <v>52</v>
      </c>
      <c r="I33" s="11" t="n">
        <v>58</v>
      </c>
      <c r="J33" s="11" t="n">
        <v>58</v>
      </c>
      <c r="K33" s="11" t="n">
        <v>22</v>
      </c>
      <c r="L33" s="12" t="n">
        <f aca="false">ROUND(G33*0.5+H33*0.5,0)</f>
        <v>54</v>
      </c>
      <c r="M33" s="12" t="n">
        <f aca="false">ROUND(H33*0.4+(100-K33)*0.3+D33*0.3,0)</f>
        <v>66</v>
      </c>
      <c r="N33" s="12" t="n">
        <f aca="false">ROUND(ABS(F33)*0.4+K33*0.3+(100-G33)*0.3,0)</f>
        <v>22</v>
      </c>
      <c r="O33" s="13" t="s">
        <v>151</v>
      </c>
    </row>
    <row r="34" customFormat="false" ht="17.15" hidden="false" customHeight="false" outlineLevel="0" collapsed="false">
      <c r="A34" s="9" t="s">
        <v>152</v>
      </c>
      <c r="B34" s="10" t="s">
        <v>153</v>
      </c>
      <c r="C34" s="10" t="s">
        <v>84</v>
      </c>
      <c r="D34" s="11" t="n">
        <v>65</v>
      </c>
      <c r="E34" s="11" t="n">
        <v>20</v>
      </c>
      <c r="F34" s="11" t="n">
        <v>8</v>
      </c>
      <c r="G34" s="11" t="n">
        <v>40</v>
      </c>
      <c r="H34" s="11" t="n">
        <v>45</v>
      </c>
      <c r="I34" s="11" t="n">
        <v>50</v>
      </c>
      <c r="J34" s="11" t="n">
        <v>50</v>
      </c>
      <c r="K34" s="11" t="n">
        <v>20</v>
      </c>
      <c r="L34" s="12" t="n">
        <f aca="false">ROUND(G34*0.5+H34*0.5,0)</f>
        <v>43</v>
      </c>
      <c r="M34" s="12" t="n">
        <f aca="false">ROUND(H34*0.4+(100-K34)*0.3+D34*0.3,0)</f>
        <v>62</v>
      </c>
      <c r="N34" s="12" t="n">
        <f aca="false">ROUND(ABS(F34)*0.4+K34*0.3+(100-G34)*0.3,0)</f>
        <v>27</v>
      </c>
      <c r="O34" s="13" t="s">
        <v>154</v>
      </c>
    </row>
    <row r="35" customFormat="false" ht="17.15" hidden="false" customHeight="false" outlineLevel="0" collapsed="false">
      <c r="A35" s="9" t="s">
        <v>155</v>
      </c>
      <c r="B35" s="10" t="s">
        <v>156</v>
      </c>
      <c r="C35" s="10" t="s">
        <v>84</v>
      </c>
      <c r="D35" s="11" t="n">
        <v>60</v>
      </c>
      <c r="E35" s="11" t="n">
        <v>55</v>
      </c>
      <c r="F35" s="11" t="n">
        <v>5</v>
      </c>
      <c r="G35" s="11" t="n">
        <v>45</v>
      </c>
      <c r="H35" s="11" t="n">
        <v>55</v>
      </c>
      <c r="I35" s="11" t="n">
        <v>50</v>
      </c>
      <c r="J35" s="11" t="n">
        <v>52</v>
      </c>
      <c r="K35" s="11" t="n">
        <v>28</v>
      </c>
      <c r="L35" s="12" t="n">
        <f aca="false">ROUND(G35*0.5+H35*0.5,0)</f>
        <v>50</v>
      </c>
      <c r="M35" s="12" t="n">
        <f aca="false">ROUND(H35*0.4+(100-K35)*0.3+D35*0.3,0)</f>
        <v>62</v>
      </c>
      <c r="N35" s="12" t="n">
        <f aca="false">ROUND(ABS(F35)*0.4+K35*0.3+(100-G35)*0.3,0)</f>
        <v>27</v>
      </c>
      <c r="O35" s="13" t="s">
        <v>157</v>
      </c>
    </row>
    <row r="36" customFormat="false" ht="17.15" hidden="false" customHeight="false" outlineLevel="0" collapsed="false">
      <c r="A36" s="9" t="s">
        <v>158</v>
      </c>
      <c r="B36" s="10" t="s">
        <v>159</v>
      </c>
      <c r="C36" s="10" t="s">
        <v>90</v>
      </c>
      <c r="D36" s="11" t="n">
        <v>18</v>
      </c>
      <c r="E36" s="11" t="n">
        <v>8</v>
      </c>
      <c r="F36" s="11" t="n">
        <v>95</v>
      </c>
      <c r="G36" s="11" t="n">
        <v>24</v>
      </c>
      <c r="H36" s="11" t="n">
        <v>78</v>
      </c>
      <c r="I36" s="11" t="n">
        <v>62</v>
      </c>
      <c r="J36" s="11" t="n">
        <v>52</v>
      </c>
      <c r="K36" s="11" t="n">
        <v>22</v>
      </c>
      <c r="L36" s="12" t="n">
        <f aca="false">ROUND(G36*0.5+H36*0.5,0)</f>
        <v>51</v>
      </c>
      <c r="M36" s="12" t="n">
        <f aca="false">ROUND(H36*0.4+(100-K36)*0.3+D36*0.3,0)</f>
        <v>60</v>
      </c>
      <c r="N36" s="12" t="n">
        <f aca="false">ROUND(ABS(F36)*0.4+K36*0.3+(100-G36)*0.3,0)</f>
        <v>67</v>
      </c>
      <c r="O36" s="13" t="s">
        <v>160</v>
      </c>
    </row>
    <row r="37" customFormat="false" ht="17.15" hidden="false" customHeight="false" outlineLevel="0" collapsed="false">
      <c r="A37" s="9" t="s">
        <v>161</v>
      </c>
      <c r="B37" s="10" t="s">
        <v>162</v>
      </c>
      <c r="C37" s="10" t="s">
        <v>90</v>
      </c>
      <c r="D37" s="11" t="n">
        <v>10</v>
      </c>
      <c r="E37" s="11" t="n">
        <v>6</v>
      </c>
      <c r="F37" s="11" t="n">
        <v>100</v>
      </c>
      <c r="G37" s="11" t="n">
        <v>20</v>
      </c>
      <c r="H37" s="11" t="n">
        <v>82</v>
      </c>
      <c r="I37" s="11" t="n">
        <v>65</v>
      </c>
      <c r="J37" s="11" t="n">
        <v>52</v>
      </c>
      <c r="K37" s="11" t="n">
        <v>30</v>
      </c>
      <c r="L37" s="12" t="n">
        <f aca="false">ROUND(G37*0.5+H37*0.5,0)</f>
        <v>51</v>
      </c>
      <c r="M37" s="12" t="n">
        <f aca="false">ROUND(H37*0.4+(100-K37)*0.3+D37*0.3,0)</f>
        <v>57</v>
      </c>
      <c r="N37" s="12" t="n">
        <f aca="false">ROUND(ABS(F37)*0.4+K37*0.3+(100-G37)*0.3,0)</f>
        <v>73</v>
      </c>
      <c r="O37" s="13" t="s">
        <v>163</v>
      </c>
    </row>
    <row r="38" customFormat="false" ht="17.15" hidden="false" customHeight="false" outlineLevel="0" collapsed="false">
      <c r="A38" s="9" t="s">
        <v>164</v>
      </c>
      <c r="B38" s="10" t="s">
        <v>165</v>
      </c>
      <c r="C38" s="10" t="s">
        <v>97</v>
      </c>
      <c r="D38" s="11" t="n">
        <v>70</v>
      </c>
      <c r="E38" s="11" t="n">
        <v>5</v>
      </c>
      <c r="F38" s="11" t="n">
        <v>-12</v>
      </c>
      <c r="G38" s="11" t="n">
        <v>85</v>
      </c>
      <c r="H38" s="11" t="n">
        <v>60</v>
      </c>
      <c r="I38" s="11" t="n">
        <v>78</v>
      </c>
      <c r="J38" s="11" t="n">
        <v>68</v>
      </c>
      <c r="K38" s="11" t="n">
        <v>30</v>
      </c>
      <c r="L38" s="12" t="n">
        <f aca="false">ROUND(G38*0.5+H38*0.5,0)</f>
        <v>73</v>
      </c>
      <c r="M38" s="12" t="n">
        <f aca="false">ROUND(H38*0.4+(100-K38)*0.3+D38*0.3,0)</f>
        <v>66</v>
      </c>
      <c r="N38" s="12" t="n">
        <f aca="false">ROUND(ABS(F38)*0.4+K38*0.3+(100-G38)*0.3,0)</f>
        <v>18</v>
      </c>
      <c r="O38" s="13" t="s">
        <v>166</v>
      </c>
    </row>
    <row r="39" customFormat="false" ht="17.15" hidden="false" customHeight="false" outlineLevel="0" collapsed="false">
      <c r="A39" s="9" t="s">
        <v>167</v>
      </c>
      <c r="B39" s="10" t="s">
        <v>168</v>
      </c>
      <c r="C39" s="10" t="s">
        <v>97</v>
      </c>
      <c r="D39" s="11" t="n">
        <v>88</v>
      </c>
      <c r="E39" s="11" t="n">
        <v>6</v>
      </c>
      <c r="F39" s="11" t="n">
        <v>-6</v>
      </c>
      <c r="G39" s="11" t="n">
        <v>65</v>
      </c>
      <c r="H39" s="11" t="n">
        <v>45</v>
      </c>
      <c r="I39" s="11" t="n">
        <v>72</v>
      </c>
      <c r="J39" s="11" t="n">
        <v>65</v>
      </c>
      <c r="K39" s="11" t="n">
        <v>15</v>
      </c>
      <c r="L39" s="12" t="n">
        <f aca="false">ROUND(G39*0.5+H39*0.5,0)</f>
        <v>55</v>
      </c>
      <c r="M39" s="12" t="n">
        <f aca="false">ROUND(H39*0.4+(100-K39)*0.3+D39*0.3,0)</f>
        <v>70</v>
      </c>
      <c r="N39" s="12" t="n">
        <f aca="false">ROUND(ABS(F39)*0.4+K39*0.3+(100-G39)*0.3,0)</f>
        <v>17</v>
      </c>
      <c r="O39" s="13" t="s">
        <v>169</v>
      </c>
    </row>
    <row r="40" customFormat="false" ht="17.15" hidden="false" customHeight="false" outlineLevel="0" collapsed="false">
      <c r="A40" s="9" t="s">
        <v>170</v>
      </c>
      <c r="B40" s="10" t="s">
        <v>171</v>
      </c>
      <c r="C40" s="10" t="s">
        <v>97</v>
      </c>
      <c r="D40" s="11" t="n">
        <v>50</v>
      </c>
      <c r="E40" s="11" t="n">
        <v>10</v>
      </c>
      <c r="F40" s="11" t="n">
        <v>-8</v>
      </c>
      <c r="G40" s="11" t="n">
        <v>65</v>
      </c>
      <c r="H40" s="11" t="n">
        <v>55</v>
      </c>
      <c r="I40" s="11" t="n">
        <v>72</v>
      </c>
      <c r="J40" s="11" t="n">
        <v>62</v>
      </c>
      <c r="K40" s="11" t="n">
        <v>35</v>
      </c>
      <c r="L40" s="12" t="n">
        <f aca="false">ROUND(G40*0.5+H40*0.5,0)</f>
        <v>60</v>
      </c>
      <c r="M40" s="12" t="n">
        <f aca="false">ROUND(H40*0.4+(100-K40)*0.3+D40*0.3,0)</f>
        <v>57</v>
      </c>
      <c r="N40" s="12" t="n">
        <f aca="false">ROUND(ABS(F40)*0.4+K40*0.3+(100-G40)*0.3,0)</f>
        <v>24</v>
      </c>
      <c r="O40" s="13" t="s">
        <v>172</v>
      </c>
    </row>
    <row r="41" customFormat="false" ht="17.15" hidden="false" customHeight="false" outlineLevel="0" collapsed="false">
      <c r="A41" s="9" t="s">
        <v>173</v>
      </c>
      <c r="B41" s="10" t="s">
        <v>174</v>
      </c>
      <c r="C41" s="10" t="s">
        <v>97</v>
      </c>
      <c r="D41" s="11" t="n">
        <v>70</v>
      </c>
      <c r="E41" s="11" t="n">
        <v>8</v>
      </c>
      <c r="F41" s="11" t="n">
        <v>-6</v>
      </c>
      <c r="G41" s="11" t="n">
        <v>60</v>
      </c>
      <c r="H41" s="11" t="n">
        <v>45</v>
      </c>
      <c r="I41" s="11" t="n">
        <v>70</v>
      </c>
      <c r="J41" s="11" t="n">
        <v>62</v>
      </c>
      <c r="K41" s="11" t="n">
        <v>25</v>
      </c>
      <c r="L41" s="12" t="n">
        <f aca="false">ROUND(G41*0.5+H41*0.5,0)</f>
        <v>53</v>
      </c>
      <c r="M41" s="12" t="n">
        <f aca="false">ROUND(H41*0.4+(100-K41)*0.3+D41*0.3,0)</f>
        <v>62</v>
      </c>
      <c r="N41" s="12" t="n">
        <f aca="false">ROUND(ABS(F41)*0.4+K41*0.3+(100-G41)*0.3,0)</f>
        <v>22</v>
      </c>
      <c r="O41" s="13" t="s">
        <v>175</v>
      </c>
    </row>
    <row r="42" customFormat="false" ht="17.15" hidden="false" customHeight="false" outlineLevel="0" collapsed="false">
      <c r="A42" s="9" t="s">
        <v>176</v>
      </c>
      <c r="B42" s="10" t="s">
        <v>177</v>
      </c>
      <c r="C42" s="10" t="s">
        <v>97</v>
      </c>
      <c r="D42" s="11" t="n">
        <v>40</v>
      </c>
      <c r="E42" s="11" t="n">
        <v>12</v>
      </c>
      <c r="F42" s="11" t="n">
        <v>-10</v>
      </c>
      <c r="G42" s="11" t="n">
        <v>70</v>
      </c>
      <c r="H42" s="11" t="n">
        <v>65</v>
      </c>
      <c r="I42" s="11" t="n">
        <v>72</v>
      </c>
      <c r="J42" s="11" t="n">
        <v>62</v>
      </c>
      <c r="K42" s="11" t="n">
        <v>45</v>
      </c>
      <c r="L42" s="12" t="n">
        <f aca="false">ROUND(G42*0.5+H42*0.5,0)</f>
        <v>68</v>
      </c>
      <c r="M42" s="12" t="n">
        <f aca="false">ROUND(H42*0.4+(100-K42)*0.3+D42*0.3,0)</f>
        <v>55</v>
      </c>
      <c r="N42" s="12" t="n">
        <f aca="false">ROUND(ABS(F42)*0.4+K42*0.3+(100-G42)*0.3,0)</f>
        <v>27</v>
      </c>
      <c r="O42" s="13" t="s">
        <v>178</v>
      </c>
    </row>
    <row r="43" customFormat="false" ht="17.15" hidden="false" customHeight="false" outlineLevel="0" collapsed="false">
      <c r="A43" s="9" t="s">
        <v>179</v>
      </c>
      <c r="B43" s="10" t="s">
        <v>180</v>
      </c>
      <c r="C43" s="10" t="s">
        <v>97</v>
      </c>
      <c r="D43" s="11" t="n">
        <v>75</v>
      </c>
      <c r="E43" s="11" t="n">
        <v>5</v>
      </c>
      <c r="F43" s="11" t="n">
        <v>-6</v>
      </c>
      <c r="G43" s="11" t="n">
        <v>60</v>
      </c>
      <c r="H43" s="11" t="n">
        <v>40</v>
      </c>
      <c r="I43" s="11" t="n">
        <v>72</v>
      </c>
      <c r="J43" s="11" t="n">
        <v>64</v>
      </c>
      <c r="K43" s="11" t="n">
        <v>25</v>
      </c>
      <c r="L43" s="12" t="n">
        <f aca="false">ROUND(G43*0.5+H43*0.5,0)</f>
        <v>50</v>
      </c>
      <c r="M43" s="12" t="n">
        <f aca="false">ROUND(H43*0.4+(100-K43)*0.3+D43*0.3,0)</f>
        <v>61</v>
      </c>
      <c r="N43" s="12" t="n">
        <f aca="false">ROUND(ABS(F43)*0.4+K43*0.3+(100-G43)*0.3,0)</f>
        <v>22</v>
      </c>
      <c r="O43" s="13" t="s">
        <v>181</v>
      </c>
    </row>
    <row r="44" customFormat="false" ht="17.15" hidden="false" customHeight="false" outlineLevel="0" collapsed="false">
      <c r="A44" s="9" t="s">
        <v>182</v>
      </c>
      <c r="B44" s="10" t="s">
        <v>183</v>
      </c>
      <c r="C44" s="10" t="s">
        <v>97</v>
      </c>
      <c r="D44" s="11" t="n">
        <v>90</v>
      </c>
      <c r="E44" s="11" t="n">
        <v>5</v>
      </c>
      <c r="F44" s="11" t="n">
        <v>0</v>
      </c>
      <c r="G44" s="11" t="n">
        <v>45</v>
      </c>
      <c r="H44" s="11" t="n">
        <v>55</v>
      </c>
      <c r="I44" s="11" t="n">
        <v>60</v>
      </c>
      <c r="J44" s="11" t="n">
        <v>52</v>
      </c>
      <c r="K44" s="11" t="n">
        <v>30</v>
      </c>
      <c r="L44" s="12" t="n">
        <f aca="false">ROUND(G44*0.5+H44*0.5,0)</f>
        <v>50</v>
      </c>
      <c r="M44" s="12" t="n">
        <f aca="false">ROUND(H44*0.4+(100-K44)*0.3+D44*0.3,0)</f>
        <v>70</v>
      </c>
      <c r="N44" s="12" t="n">
        <f aca="false">ROUND(ABS(F44)*0.4+K44*0.3+(100-G44)*0.3,0)</f>
        <v>26</v>
      </c>
      <c r="O44" s="13" t="s">
        <v>184</v>
      </c>
    </row>
    <row r="45" customFormat="false" ht="17.15" hidden="false" customHeight="false" outlineLevel="0" collapsed="false">
      <c r="A45" s="9" t="s">
        <v>185</v>
      </c>
      <c r="B45" s="10" t="s">
        <v>186</v>
      </c>
      <c r="C45" s="10" t="s">
        <v>107</v>
      </c>
      <c r="D45" s="11" t="n">
        <v>30</v>
      </c>
      <c r="E45" s="11" t="n">
        <v>12</v>
      </c>
      <c r="F45" s="11" t="n">
        <v>-55</v>
      </c>
      <c r="G45" s="11" t="n">
        <v>55</v>
      </c>
      <c r="H45" s="11" t="n">
        <v>72</v>
      </c>
      <c r="I45" s="11" t="n">
        <v>68</v>
      </c>
      <c r="J45" s="11" t="n">
        <v>58</v>
      </c>
      <c r="K45" s="11" t="n">
        <v>65</v>
      </c>
      <c r="L45" s="12" t="n">
        <f aca="false">ROUND(G45*0.5+H45*0.5,0)</f>
        <v>64</v>
      </c>
      <c r="M45" s="12" t="n">
        <f aca="false">ROUND(H45*0.4+(100-K45)*0.3+D45*0.3,0)</f>
        <v>48</v>
      </c>
      <c r="N45" s="12" t="n">
        <f aca="false">ROUND(ABS(F45)*0.4+K45*0.3+(100-G45)*0.3,0)</f>
        <v>55</v>
      </c>
      <c r="O45" s="13" t="s">
        <v>187</v>
      </c>
    </row>
    <row r="46" customFormat="false" ht="17.15" hidden="false" customHeight="false" outlineLevel="0" collapsed="false">
      <c r="A46" s="9" t="s">
        <v>188</v>
      </c>
      <c r="B46" s="10" t="s">
        <v>189</v>
      </c>
      <c r="C46" s="10" t="s">
        <v>107</v>
      </c>
      <c r="D46" s="11" t="n">
        <v>35</v>
      </c>
      <c r="E46" s="11" t="n">
        <v>15</v>
      </c>
      <c r="F46" s="11" t="n">
        <v>-50</v>
      </c>
      <c r="G46" s="11" t="n">
        <v>55</v>
      </c>
      <c r="H46" s="11" t="n">
        <v>70</v>
      </c>
      <c r="I46" s="11" t="n">
        <v>68</v>
      </c>
      <c r="J46" s="11" t="n">
        <v>58</v>
      </c>
      <c r="K46" s="11" t="n">
        <v>60</v>
      </c>
      <c r="L46" s="12" t="n">
        <f aca="false">ROUND(G46*0.5+H46*0.5,0)</f>
        <v>63</v>
      </c>
      <c r="M46" s="12" t="n">
        <f aca="false">ROUND(H46*0.4+(100-K46)*0.3+D46*0.3,0)</f>
        <v>51</v>
      </c>
      <c r="N46" s="12" t="n">
        <f aca="false">ROUND(ABS(F46)*0.4+K46*0.3+(100-G46)*0.3,0)</f>
        <v>52</v>
      </c>
      <c r="O46" s="13" t="s">
        <v>190</v>
      </c>
    </row>
    <row r="47" customFormat="false" ht="17.15" hidden="false" customHeight="false" outlineLevel="0" collapsed="false">
      <c r="A47" s="9" t="s">
        <v>191</v>
      </c>
      <c r="B47" s="10" t="s">
        <v>192</v>
      </c>
      <c r="C47" s="10" t="s">
        <v>107</v>
      </c>
      <c r="D47" s="11" t="n">
        <v>40</v>
      </c>
      <c r="E47" s="11" t="n">
        <v>12</v>
      </c>
      <c r="F47" s="11" t="n">
        <v>-45</v>
      </c>
      <c r="G47" s="11" t="n">
        <v>58</v>
      </c>
      <c r="H47" s="11" t="n">
        <v>68</v>
      </c>
      <c r="I47" s="11" t="n">
        <v>68</v>
      </c>
      <c r="J47" s="11" t="n">
        <v>60</v>
      </c>
      <c r="K47" s="11" t="n">
        <v>62</v>
      </c>
      <c r="L47" s="12" t="n">
        <f aca="false">ROUND(G47*0.5+H47*0.5,0)</f>
        <v>63</v>
      </c>
      <c r="M47" s="12" t="n">
        <f aca="false">ROUND(H47*0.4+(100-K47)*0.3+D47*0.3,0)</f>
        <v>51</v>
      </c>
      <c r="N47" s="12" t="n">
        <f aca="false">ROUND(ABS(F47)*0.4+K47*0.3+(100-G47)*0.3,0)</f>
        <v>49</v>
      </c>
      <c r="O47" s="13" t="s">
        <v>193</v>
      </c>
    </row>
    <row r="48" customFormat="false" ht="17.15" hidden="false" customHeight="false" outlineLevel="0" collapsed="false">
      <c r="A48" s="9" t="s">
        <v>194</v>
      </c>
      <c r="B48" s="10" t="s">
        <v>195</v>
      </c>
      <c r="C48" s="10" t="s">
        <v>107</v>
      </c>
      <c r="D48" s="11" t="n">
        <v>30</v>
      </c>
      <c r="E48" s="11" t="n">
        <v>25</v>
      </c>
      <c r="F48" s="11" t="n">
        <v>-35</v>
      </c>
      <c r="G48" s="11" t="n">
        <v>50</v>
      </c>
      <c r="H48" s="11" t="n">
        <v>68</v>
      </c>
      <c r="I48" s="11" t="n">
        <v>62</v>
      </c>
      <c r="J48" s="11" t="n">
        <v>55</v>
      </c>
      <c r="K48" s="11" t="n">
        <v>58</v>
      </c>
      <c r="L48" s="12" t="n">
        <f aca="false">ROUND(G48*0.5+H48*0.5,0)</f>
        <v>59</v>
      </c>
      <c r="M48" s="12" t="n">
        <f aca="false">ROUND(H48*0.4+(100-K48)*0.3+D48*0.3,0)</f>
        <v>49</v>
      </c>
      <c r="N48" s="12" t="n">
        <f aca="false">ROUND(ABS(F48)*0.4+K48*0.3+(100-G48)*0.3,0)</f>
        <v>46</v>
      </c>
      <c r="O48" s="13" t="s">
        <v>196</v>
      </c>
    </row>
    <row r="49" customFormat="false" ht="17.15" hidden="false" customHeight="false" outlineLevel="0" collapsed="false">
      <c r="A49" s="9" t="s">
        <v>197</v>
      </c>
      <c r="B49" s="10" t="s">
        <v>198</v>
      </c>
      <c r="C49" s="10" t="s">
        <v>107</v>
      </c>
      <c r="D49" s="11" t="n">
        <v>20</v>
      </c>
      <c r="E49" s="11" t="n">
        <v>15</v>
      </c>
      <c r="F49" s="11" t="n">
        <v>-45</v>
      </c>
      <c r="G49" s="11" t="n">
        <v>55</v>
      </c>
      <c r="H49" s="11" t="n">
        <v>75</v>
      </c>
      <c r="I49" s="11" t="n">
        <v>65</v>
      </c>
      <c r="J49" s="11" t="n">
        <v>55</v>
      </c>
      <c r="K49" s="11" t="n">
        <v>68</v>
      </c>
      <c r="L49" s="12" t="n">
        <f aca="false">ROUND(G49*0.5+H49*0.5,0)</f>
        <v>65</v>
      </c>
      <c r="M49" s="12" t="n">
        <f aca="false">ROUND(H49*0.4+(100-K49)*0.3+D49*0.3,0)</f>
        <v>46</v>
      </c>
      <c r="N49" s="12" t="n">
        <f aca="false">ROUND(ABS(F49)*0.4+K49*0.3+(100-G49)*0.3,0)</f>
        <v>52</v>
      </c>
      <c r="O49" s="13" t="s">
        <v>199</v>
      </c>
    </row>
    <row r="50" customFormat="false" ht="17.15" hidden="false" customHeight="false" outlineLevel="0" collapsed="false">
      <c r="A50" s="9" t="s">
        <v>200</v>
      </c>
      <c r="B50" s="10" t="s">
        <v>201</v>
      </c>
      <c r="C50" s="10" t="s">
        <v>107</v>
      </c>
      <c r="D50" s="11" t="n">
        <v>35</v>
      </c>
      <c r="E50" s="11" t="n">
        <v>10</v>
      </c>
      <c r="F50" s="11" t="n">
        <v>-50</v>
      </c>
      <c r="G50" s="11" t="n">
        <v>52</v>
      </c>
      <c r="H50" s="11" t="n">
        <v>62</v>
      </c>
      <c r="I50" s="11" t="n">
        <v>65</v>
      </c>
      <c r="J50" s="11" t="n">
        <v>56</v>
      </c>
      <c r="K50" s="11" t="n">
        <v>58</v>
      </c>
      <c r="L50" s="12" t="n">
        <f aca="false">ROUND(G50*0.5+H50*0.5,0)</f>
        <v>57</v>
      </c>
      <c r="M50" s="12" t="n">
        <f aca="false">ROUND(H50*0.4+(100-K50)*0.3+D50*0.3,0)</f>
        <v>48</v>
      </c>
      <c r="N50" s="12" t="n">
        <f aca="false">ROUND(ABS(F50)*0.4+K50*0.3+(100-G50)*0.3,0)</f>
        <v>52</v>
      </c>
      <c r="O50" s="13" t="s">
        <v>202</v>
      </c>
    </row>
    <row r="51" customFormat="false" ht="17.15" hidden="false" customHeight="false" outlineLevel="0" collapsed="false">
      <c r="A51" s="9" t="s">
        <v>203</v>
      </c>
      <c r="B51" s="10" t="s">
        <v>204</v>
      </c>
      <c r="C51" s="10" t="s">
        <v>107</v>
      </c>
      <c r="D51" s="11" t="n">
        <v>25</v>
      </c>
      <c r="E51" s="11" t="n">
        <v>30</v>
      </c>
      <c r="F51" s="11" t="n">
        <v>20</v>
      </c>
      <c r="G51" s="11" t="n">
        <v>40</v>
      </c>
      <c r="H51" s="11" t="n">
        <v>60</v>
      </c>
      <c r="I51" s="11" t="n">
        <v>55</v>
      </c>
      <c r="J51" s="11" t="n">
        <v>50</v>
      </c>
      <c r="K51" s="11" t="n">
        <v>55</v>
      </c>
      <c r="L51" s="12" t="n">
        <f aca="false">ROUND(G51*0.5+H51*0.5,0)</f>
        <v>50</v>
      </c>
      <c r="M51" s="12" t="n">
        <f aca="false">ROUND(H51*0.4+(100-K51)*0.3+D51*0.3,0)</f>
        <v>45</v>
      </c>
      <c r="N51" s="12" t="n">
        <f aca="false">ROUND(ABS(F51)*0.4+K51*0.3+(100-G51)*0.3,0)</f>
        <v>43</v>
      </c>
      <c r="O51" s="13" t="s">
        <v>205</v>
      </c>
    </row>
    <row r="52" customFormat="false" ht="17.15" hidden="false" customHeight="false" outlineLevel="0" collapsed="false">
      <c r="A52" s="9" t="s">
        <v>206</v>
      </c>
      <c r="B52" s="10" t="s">
        <v>207</v>
      </c>
      <c r="C52" s="10" t="s">
        <v>114</v>
      </c>
      <c r="D52" s="11" t="n">
        <v>48</v>
      </c>
      <c r="E52" s="11" t="n">
        <v>12</v>
      </c>
      <c r="F52" s="11" t="n">
        <v>8</v>
      </c>
      <c r="G52" s="11" t="n">
        <v>40</v>
      </c>
      <c r="H52" s="11" t="n">
        <v>60</v>
      </c>
      <c r="I52" s="11" t="n">
        <v>50</v>
      </c>
      <c r="J52" s="11" t="n">
        <v>55</v>
      </c>
      <c r="K52" s="11" t="n">
        <v>58</v>
      </c>
      <c r="L52" s="12" t="n">
        <f aca="false">ROUND(G52*0.5+H52*0.5,0)</f>
        <v>50</v>
      </c>
      <c r="M52" s="12" t="n">
        <f aca="false">ROUND(H52*0.4+(100-K52)*0.3+D52*0.3,0)</f>
        <v>51</v>
      </c>
      <c r="N52" s="12" t="n">
        <f aca="false">ROUND(ABS(F52)*0.4+K52*0.3+(100-G52)*0.3,0)</f>
        <v>39</v>
      </c>
      <c r="O52" s="13" t="s">
        <v>208</v>
      </c>
    </row>
    <row r="53" customFormat="false" ht="17.15" hidden="false" customHeight="false" outlineLevel="0" collapsed="false">
      <c r="A53" s="9" t="s">
        <v>209</v>
      </c>
      <c r="B53" s="10" t="s">
        <v>210</v>
      </c>
      <c r="C53" s="10" t="s">
        <v>114</v>
      </c>
      <c r="D53" s="11" t="n">
        <v>50</v>
      </c>
      <c r="E53" s="11" t="n">
        <v>15</v>
      </c>
      <c r="F53" s="11" t="n">
        <v>5</v>
      </c>
      <c r="G53" s="11" t="n">
        <v>42</v>
      </c>
      <c r="H53" s="11" t="n">
        <v>55</v>
      </c>
      <c r="I53" s="11" t="n">
        <v>52</v>
      </c>
      <c r="J53" s="11" t="n">
        <v>55</v>
      </c>
      <c r="K53" s="11" t="n">
        <v>50</v>
      </c>
      <c r="L53" s="12" t="n">
        <f aca="false">ROUND(G53*0.5+H53*0.5,0)</f>
        <v>49</v>
      </c>
      <c r="M53" s="12" t="n">
        <f aca="false">ROUND(H53*0.4+(100-K53)*0.3+D53*0.3,0)</f>
        <v>52</v>
      </c>
      <c r="N53" s="12" t="n">
        <f aca="false">ROUND(ABS(F53)*0.4+K53*0.3+(100-G53)*0.3,0)</f>
        <v>34</v>
      </c>
      <c r="O53" s="13" t="s">
        <v>211</v>
      </c>
    </row>
    <row r="54" customFormat="false" ht="17.15" hidden="false" customHeight="false" outlineLevel="0" collapsed="false">
      <c r="A54" s="9" t="s">
        <v>212</v>
      </c>
      <c r="B54" s="10" t="s">
        <v>213</v>
      </c>
      <c r="C54" s="10" t="s">
        <v>114</v>
      </c>
      <c r="D54" s="11" t="n">
        <v>55</v>
      </c>
      <c r="E54" s="11" t="n">
        <v>12</v>
      </c>
      <c r="F54" s="11" t="n">
        <v>5</v>
      </c>
      <c r="G54" s="11" t="n">
        <v>40</v>
      </c>
      <c r="H54" s="11" t="n">
        <v>58</v>
      </c>
      <c r="I54" s="11" t="n">
        <v>50</v>
      </c>
      <c r="J54" s="11" t="n">
        <v>52</v>
      </c>
      <c r="K54" s="11" t="n">
        <v>55</v>
      </c>
      <c r="L54" s="12" t="n">
        <f aca="false">ROUND(G54*0.5+H54*0.5,0)</f>
        <v>49</v>
      </c>
      <c r="M54" s="12" t="n">
        <f aca="false">ROUND(H54*0.4+(100-K54)*0.3+D54*0.3,0)</f>
        <v>53</v>
      </c>
      <c r="N54" s="12" t="n">
        <f aca="false">ROUND(ABS(F54)*0.4+K54*0.3+(100-G54)*0.3,0)</f>
        <v>37</v>
      </c>
      <c r="O54" s="13" t="s">
        <v>214</v>
      </c>
    </row>
    <row r="55" customFormat="false" ht="17.15" hidden="false" customHeight="false" outlineLevel="0" collapsed="false">
      <c r="A55" s="9" t="s">
        <v>215</v>
      </c>
      <c r="B55" s="10" t="s">
        <v>216</v>
      </c>
      <c r="C55" s="10" t="s">
        <v>114</v>
      </c>
      <c r="D55" s="11" t="n">
        <v>52</v>
      </c>
      <c r="E55" s="11" t="n">
        <v>15</v>
      </c>
      <c r="F55" s="11" t="n">
        <v>8</v>
      </c>
      <c r="G55" s="11" t="n">
        <v>40</v>
      </c>
      <c r="H55" s="11" t="n">
        <v>62</v>
      </c>
      <c r="I55" s="11" t="n">
        <v>50</v>
      </c>
      <c r="J55" s="11" t="n">
        <v>54</v>
      </c>
      <c r="K55" s="11" t="n">
        <v>58</v>
      </c>
      <c r="L55" s="12" t="n">
        <f aca="false">ROUND(G55*0.5+H55*0.5,0)</f>
        <v>51</v>
      </c>
      <c r="M55" s="12" t="n">
        <f aca="false">ROUND(H55*0.4+(100-K55)*0.3+D55*0.3,0)</f>
        <v>53</v>
      </c>
      <c r="N55" s="12" t="n">
        <f aca="false">ROUND(ABS(F55)*0.4+K55*0.3+(100-G55)*0.3,0)</f>
        <v>39</v>
      </c>
      <c r="O55" s="13" t="s">
        <v>217</v>
      </c>
    </row>
    <row r="56" customFormat="false" ht="17.15" hidden="false" customHeight="false" outlineLevel="0" collapsed="false">
      <c r="A56" s="9" t="s">
        <v>218</v>
      </c>
      <c r="B56" s="10" t="s">
        <v>219</v>
      </c>
      <c r="C56" s="10" t="s">
        <v>121</v>
      </c>
      <c r="D56" s="11" t="n">
        <v>42</v>
      </c>
      <c r="E56" s="11" t="n">
        <v>22</v>
      </c>
      <c r="F56" s="11" t="n">
        <v>3</v>
      </c>
      <c r="G56" s="11" t="n">
        <v>52</v>
      </c>
      <c r="H56" s="11" t="n">
        <v>52</v>
      </c>
      <c r="I56" s="11" t="n">
        <v>55</v>
      </c>
      <c r="J56" s="11" t="n">
        <v>55</v>
      </c>
      <c r="K56" s="11" t="n">
        <v>30</v>
      </c>
      <c r="L56" s="12" t="n">
        <f aca="false">ROUND(G56*0.5+H56*0.5,0)</f>
        <v>52</v>
      </c>
      <c r="M56" s="12" t="n">
        <f aca="false">ROUND(H56*0.4+(100-K56)*0.3+D56*0.3,0)</f>
        <v>54</v>
      </c>
      <c r="N56" s="12" t="n">
        <f aca="false">ROUND(ABS(F56)*0.4+K56*0.3+(100-G56)*0.3,0)</f>
        <v>25</v>
      </c>
      <c r="O56" s="13" t="s">
        <v>220</v>
      </c>
    </row>
    <row r="57" customFormat="false" ht="17.15" hidden="false" customHeight="false" outlineLevel="0" collapsed="false">
      <c r="A57" s="9" t="s">
        <v>221</v>
      </c>
      <c r="B57" s="10" t="s">
        <v>222</v>
      </c>
      <c r="C57" s="10" t="s">
        <v>129</v>
      </c>
      <c r="D57" s="11" t="n">
        <v>70</v>
      </c>
      <c r="E57" s="11" t="n">
        <v>25</v>
      </c>
      <c r="F57" s="11" t="n">
        <v>-5</v>
      </c>
      <c r="G57" s="11" t="n">
        <v>60</v>
      </c>
      <c r="H57" s="11" t="n">
        <v>70</v>
      </c>
      <c r="I57" s="11" t="n">
        <v>65</v>
      </c>
      <c r="J57" s="11" t="n">
        <v>62</v>
      </c>
      <c r="K57" s="11" t="n">
        <v>50</v>
      </c>
      <c r="L57" s="12" t="n">
        <f aca="false">ROUND(G57*0.5+H57*0.5,0)</f>
        <v>65</v>
      </c>
      <c r="M57" s="12" t="n">
        <f aca="false">ROUND(H57*0.4+(100-K57)*0.3+D57*0.3,0)</f>
        <v>64</v>
      </c>
      <c r="N57" s="12" t="n">
        <f aca="false">ROUND(ABS(F57)*0.4+K57*0.3+(100-G57)*0.3,0)</f>
        <v>29</v>
      </c>
      <c r="O57" s="13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12" min="2" style="1" width="9"/>
  </cols>
  <sheetData>
    <row r="1" customFormat="false" ht="21" hidden="false" customHeight="true" outlineLevel="0" collapsed="false">
      <c r="A1" s="2" t="s">
        <v>224</v>
      </c>
    </row>
    <row r="2" customFormat="false" ht="15" hidden="false" customHeight="true" outlineLevel="0" collapsed="false">
      <c r="A2" s="8" t="s">
        <v>225</v>
      </c>
      <c r="B2" s="8" t="s">
        <v>51</v>
      </c>
      <c r="C2" s="8" t="s">
        <v>64</v>
      </c>
      <c r="D2" s="8" t="s">
        <v>74</v>
      </c>
      <c r="E2" s="8" t="s">
        <v>84</v>
      </c>
      <c r="F2" s="8" t="s">
        <v>90</v>
      </c>
      <c r="G2" s="8" t="s">
        <v>97</v>
      </c>
      <c r="H2" s="8" t="s">
        <v>107</v>
      </c>
      <c r="I2" s="8" t="s">
        <v>114</v>
      </c>
      <c r="J2" s="8" t="s">
        <v>121</v>
      </c>
      <c r="K2" s="8" t="s">
        <v>125</v>
      </c>
      <c r="L2" s="8" t="s">
        <v>129</v>
      </c>
    </row>
    <row r="3" customFormat="false" ht="15" hidden="false" customHeight="true" outlineLevel="0" collapsed="false">
      <c r="A3" s="8" t="s">
        <v>51</v>
      </c>
      <c r="B3" s="14" t="n">
        <v>1</v>
      </c>
      <c r="C3" s="14" t="n">
        <v>1</v>
      </c>
      <c r="D3" s="14" t="n">
        <v>1</v>
      </c>
      <c r="E3" s="11" t="n">
        <v>0</v>
      </c>
      <c r="F3" s="15" t="n">
        <v>2</v>
      </c>
      <c r="G3" s="11" t="n">
        <v>0</v>
      </c>
      <c r="H3" s="11" t="n">
        <v>0</v>
      </c>
      <c r="I3" s="11" t="n">
        <v>0</v>
      </c>
      <c r="J3" s="15" t="n">
        <v>2</v>
      </c>
      <c r="K3" s="11" t="n">
        <v>0</v>
      </c>
      <c r="L3" s="11" t="n">
        <v>0</v>
      </c>
    </row>
    <row r="4" customFormat="false" ht="15" hidden="false" customHeight="true" outlineLevel="0" collapsed="false">
      <c r="A4" s="8" t="s">
        <v>64</v>
      </c>
      <c r="B4" s="14" t="n">
        <v>1</v>
      </c>
      <c r="C4" s="14" t="n">
        <v>1</v>
      </c>
      <c r="D4" s="14" t="n">
        <v>1</v>
      </c>
      <c r="E4" s="11" t="n">
        <v>0</v>
      </c>
      <c r="F4" s="11" t="n">
        <v>0</v>
      </c>
      <c r="G4" s="15" t="n">
        <v>2</v>
      </c>
      <c r="H4" s="11" t="n">
        <v>0</v>
      </c>
      <c r="I4" s="15" t="n">
        <v>2</v>
      </c>
      <c r="J4" s="11" t="n">
        <v>0</v>
      </c>
      <c r="K4" s="14" t="n">
        <v>1</v>
      </c>
      <c r="L4" s="11" t="n">
        <v>0</v>
      </c>
    </row>
    <row r="5" customFormat="false" ht="15" hidden="false" customHeight="true" outlineLevel="0" collapsed="false">
      <c r="A5" s="8" t="s">
        <v>74</v>
      </c>
      <c r="B5" s="14" t="n">
        <v>1</v>
      </c>
      <c r="C5" s="14" t="n">
        <v>1</v>
      </c>
      <c r="D5" s="14" t="n">
        <v>1</v>
      </c>
      <c r="E5" s="11" t="n">
        <v>0</v>
      </c>
      <c r="F5" s="11" t="n">
        <v>0</v>
      </c>
      <c r="G5" s="14" t="n">
        <v>1</v>
      </c>
      <c r="H5" s="11" t="n">
        <v>0</v>
      </c>
      <c r="I5" s="11" t="n">
        <v>0</v>
      </c>
      <c r="J5" s="11" t="n">
        <v>0</v>
      </c>
      <c r="K5" s="14" t="n">
        <v>1</v>
      </c>
      <c r="L5" s="11" t="n">
        <v>0</v>
      </c>
    </row>
    <row r="6" customFormat="false" ht="15" hidden="false" customHeight="true" outlineLevel="0" collapsed="false">
      <c r="A6" s="8" t="s">
        <v>84</v>
      </c>
      <c r="B6" s="11" t="n">
        <v>0</v>
      </c>
      <c r="C6" s="11" t="n">
        <v>0</v>
      </c>
      <c r="D6" s="11" t="n">
        <v>0</v>
      </c>
      <c r="E6" s="14" t="n">
        <v>1</v>
      </c>
      <c r="F6" s="11" t="n">
        <v>0</v>
      </c>
      <c r="G6" s="14" t="n">
        <v>1</v>
      </c>
      <c r="H6" s="15" t="n">
        <v>2</v>
      </c>
      <c r="I6" s="15" t="n">
        <v>2</v>
      </c>
      <c r="J6" s="11" t="n">
        <v>0</v>
      </c>
      <c r="K6" s="11" t="n">
        <v>0</v>
      </c>
      <c r="L6" s="11" t="n">
        <v>0</v>
      </c>
    </row>
    <row r="7" customFormat="false" ht="15" hidden="false" customHeight="true" outlineLevel="0" collapsed="false">
      <c r="A7" s="8" t="s">
        <v>90</v>
      </c>
      <c r="B7" s="15" t="n">
        <v>2</v>
      </c>
      <c r="C7" s="11" t="n">
        <v>0</v>
      </c>
      <c r="D7" s="11" t="n">
        <v>0</v>
      </c>
      <c r="E7" s="11" t="n">
        <v>0</v>
      </c>
      <c r="F7" s="14" t="n">
        <v>1</v>
      </c>
      <c r="G7" s="14" t="n">
        <v>1</v>
      </c>
      <c r="H7" s="16" t="n">
        <v>-2</v>
      </c>
      <c r="I7" s="11" t="n">
        <v>0</v>
      </c>
      <c r="J7" s="11" t="n">
        <v>0</v>
      </c>
      <c r="K7" s="11" t="n">
        <v>0</v>
      </c>
      <c r="L7" s="15" t="n">
        <v>2</v>
      </c>
    </row>
    <row r="8" customFormat="false" ht="15" hidden="false" customHeight="true" outlineLevel="0" collapsed="false">
      <c r="A8" s="8" t="s">
        <v>97</v>
      </c>
      <c r="B8" s="11" t="n">
        <v>0</v>
      </c>
      <c r="C8" s="15" t="n">
        <v>2</v>
      </c>
      <c r="D8" s="14" t="n">
        <v>1</v>
      </c>
      <c r="E8" s="14" t="n">
        <v>1</v>
      </c>
      <c r="F8" s="14" t="n">
        <v>1</v>
      </c>
      <c r="G8" s="14" t="n">
        <v>1</v>
      </c>
      <c r="H8" s="15" t="n">
        <v>2</v>
      </c>
      <c r="I8" s="11" t="n">
        <v>0</v>
      </c>
      <c r="J8" s="14" t="n">
        <v>1</v>
      </c>
      <c r="K8" s="11" t="n">
        <v>0</v>
      </c>
      <c r="L8" s="14" t="n">
        <v>1</v>
      </c>
    </row>
    <row r="9" customFormat="false" ht="15" hidden="false" customHeight="true" outlineLevel="0" collapsed="false">
      <c r="A9" s="8" t="s">
        <v>107</v>
      </c>
      <c r="B9" s="11" t="n">
        <v>0</v>
      </c>
      <c r="C9" s="11" t="n">
        <v>0</v>
      </c>
      <c r="D9" s="11" t="n">
        <v>0</v>
      </c>
      <c r="E9" s="15" t="n">
        <v>2</v>
      </c>
      <c r="F9" s="16" t="n">
        <v>-2</v>
      </c>
      <c r="G9" s="15" t="n">
        <v>2</v>
      </c>
      <c r="H9" s="16" t="n">
        <v>-2</v>
      </c>
      <c r="I9" s="11" t="n">
        <v>0</v>
      </c>
      <c r="J9" s="14" t="n">
        <v>1</v>
      </c>
      <c r="K9" s="16" t="n">
        <v>-2</v>
      </c>
      <c r="L9" s="14" t="n">
        <v>1</v>
      </c>
    </row>
    <row r="10" customFormat="false" ht="15" hidden="false" customHeight="true" outlineLevel="0" collapsed="false">
      <c r="A10" s="8" t="s">
        <v>114</v>
      </c>
      <c r="B10" s="11" t="n">
        <v>0</v>
      </c>
      <c r="C10" s="15" t="n">
        <v>2</v>
      </c>
      <c r="D10" s="11" t="n">
        <v>0</v>
      </c>
      <c r="E10" s="15" t="n">
        <v>2</v>
      </c>
      <c r="F10" s="11" t="n">
        <v>0</v>
      </c>
      <c r="G10" s="11" t="n">
        <v>0</v>
      </c>
      <c r="H10" s="11" t="n">
        <v>0</v>
      </c>
      <c r="I10" s="14" t="n">
        <v>1</v>
      </c>
      <c r="J10" s="14" t="n">
        <v>1</v>
      </c>
      <c r="K10" s="16" t="n">
        <v>-2</v>
      </c>
      <c r="L10" s="11" t="n">
        <v>0</v>
      </c>
    </row>
    <row r="11" customFormat="false" ht="15" hidden="false" customHeight="true" outlineLevel="0" collapsed="false">
      <c r="A11" s="8" t="s">
        <v>121</v>
      </c>
      <c r="B11" s="15" t="n">
        <v>2</v>
      </c>
      <c r="C11" s="11" t="n">
        <v>0</v>
      </c>
      <c r="D11" s="11" t="n">
        <v>0</v>
      </c>
      <c r="E11" s="11" t="n">
        <v>0</v>
      </c>
      <c r="F11" s="11" t="n">
        <v>0</v>
      </c>
      <c r="G11" s="14" t="n">
        <v>1</v>
      </c>
      <c r="H11" s="14" t="n">
        <v>1</v>
      </c>
      <c r="I11" s="14" t="n">
        <v>1</v>
      </c>
      <c r="J11" s="14" t="n">
        <v>1</v>
      </c>
      <c r="K11" s="16" t="n">
        <v>-2</v>
      </c>
      <c r="L11" s="11" t="n">
        <v>0</v>
      </c>
    </row>
    <row r="12" customFormat="false" ht="15" hidden="false" customHeight="true" outlineLevel="0" collapsed="false">
      <c r="A12" s="8" t="s">
        <v>125</v>
      </c>
      <c r="B12" s="11" t="n">
        <v>0</v>
      </c>
      <c r="C12" s="14" t="n">
        <v>1</v>
      </c>
      <c r="D12" s="14" t="n">
        <v>1</v>
      </c>
      <c r="E12" s="11" t="n">
        <v>0</v>
      </c>
      <c r="F12" s="11" t="n">
        <v>0</v>
      </c>
      <c r="G12" s="11" t="n">
        <v>0</v>
      </c>
      <c r="H12" s="16" t="n">
        <v>-2</v>
      </c>
      <c r="I12" s="16" t="n">
        <v>-2</v>
      </c>
      <c r="J12" s="16" t="n">
        <v>-2</v>
      </c>
      <c r="K12" s="14" t="n">
        <v>1</v>
      </c>
      <c r="L12" s="11" t="n">
        <v>0</v>
      </c>
    </row>
    <row r="13" customFormat="false" ht="15" hidden="false" customHeight="true" outlineLevel="0" collapsed="false">
      <c r="A13" s="8" t="s">
        <v>129</v>
      </c>
      <c r="B13" s="11" t="n">
        <v>0</v>
      </c>
      <c r="C13" s="11" t="n">
        <v>0</v>
      </c>
      <c r="D13" s="11" t="n">
        <v>0</v>
      </c>
      <c r="E13" s="11" t="n">
        <v>0</v>
      </c>
      <c r="F13" s="15" t="n">
        <v>2</v>
      </c>
      <c r="G13" s="14" t="n">
        <v>1</v>
      </c>
      <c r="H13" s="14" t="n">
        <v>1</v>
      </c>
      <c r="I13" s="11" t="n">
        <v>0</v>
      </c>
      <c r="J13" s="11" t="n">
        <v>0</v>
      </c>
      <c r="K13" s="11" t="n">
        <v>0</v>
      </c>
      <c r="L13" s="14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8"/>
    <col collapsed="false" customWidth="true" hidden="false" outlineLevel="0" max="6" min="5" style="1" width="9"/>
    <col collapsed="false" customWidth="true" hidden="false" outlineLevel="0" max="7" min="7" style="1" width="10"/>
    <col collapsed="false" customWidth="true" hidden="false" outlineLevel="0" max="8" min="8" style="1" width="16"/>
    <col collapsed="false" customWidth="true" hidden="false" outlineLevel="0" max="9" min="9" style="1" width="8"/>
    <col collapsed="false" customWidth="true" hidden="false" outlineLevel="0" max="10" min="10" style="1" width="30"/>
    <col collapsed="false" customWidth="true" hidden="false" outlineLevel="0" max="11" min="11" style="1" width="24"/>
  </cols>
  <sheetData>
    <row r="1" customFormat="false" ht="21" hidden="false" customHeight="true" outlineLevel="0" collapsed="false">
      <c r="A1" s="2" t="s">
        <v>226</v>
      </c>
    </row>
    <row r="2" customFormat="false" ht="16.5" hidden="false" customHeight="true" outlineLevel="0" collapsed="false">
      <c r="A2" s="7" t="s">
        <v>34</v>
      </c>
      <c r="B2" s="8" t="s">
        <v>227</v>
      </c>
      <c r="C2" s="8" t="s">
        <v>228</v>
      </c>
      <c r="D2" s="8" t="s">
        <v>229</v>
      </c>
      <c r="E2" s="8" t="s">
        <v>230</v>
      </c>
      <c r="F2" s="8" t="s">
        <v>231</v>
      </c>
      <c r="G2" s="8" t="s">
        <v>232</v>
      </c>
      <c r="H2" s="8" t="s">
        <v>233</v>
      </c>
      <c r="I2" s="8" t="s">
        <v>234</v>
      </c>
      <c r="J2" s="8" t="s">
        <v>235</v>
      </c>
      <c r="K2" s="8" t="s">
        <v>236</v>
      </c>
    </row>
    <row r="3" customFormat="false" ht="31.5" hidden="false" customHeight="true" outlineLevel="0" collapsed="false">
      <c r="A3" s="9" t="s">
        <v>237</v>
      </c>
      <c r="B3" s="10" t="s">
        <v>238</v>
      </c>
      <c r="C3" s="10" t="s">
        <v>239</v>
      </c>
      <c r="D3" s="11" t="n">
        <v>85</v>
      </c>
      <c r="E3" s="11" t="n">
        <v>60</v>
      </c>
      <c r="F3" s="11" t="n">
        <v>55</v>
      </c>
      <c r="G3" s="11" t="n">
        <v>40</v>
      </c>
      <c r="H3" s="10" t="s">
        <v>240</v>
      </c>
      <c r="I3" s="11" t="n">
        <v>30</v>
      </c>
      <c r="J3" s="13" t="s">
        <v>241</v>
      </c>
      <c r="K3" s="13" t="s">
        <v>242</v>
      </c>
    </row>
    <row r="4" customFormat="false" ht="31.5" hidden="false" customHeight="true" outlineLevel="0" collapsed="false">
      <c r="A4" s="9" t="s">
        <v>243</v>
      </c>
      <c r="B4" s="10" t="s">
        <v>244</v>
      </c>
      <c r="C4" s="10" t="s">
        <v>245</v>
      </c>
      <c r="D4" s="11" t="n">
        <v>70</v>
      </c>
      <c r="E4" s="11" t="n">
        <v>60</v>
      </c>
      <c r="F4" s="11" t="n">
        <v>70</v>
      </c>
      <c r="G4" s="11" t="n">
        <v>50</v>
      </c>
      <c r="H4" s="10" t="s">
        <v>246</v>
      </c>
      <c r="I4" s="11" t="n">
        <v>65</v>
      </c>
      <c r="J4" s="13" t="s">
        <v>247</v>
      </c>
      <c r="K4" s="13" t="s">
        <v>248</v>
      </c>
    </row>
    <row r="5" customFormat="false" ht="31.5" hidden="false" customHeight="true" outlineLevel="0" collapsed="false">
      <c r="A5" s="9" t="s">
        <v>249</v>
      </c>
      <c r="B5" s="17" t="s">
        <v>250</v>
      </c>
      <c r="C5" s="10" t="s">
        <v>251</v>
      </c>
      <c r="D5" s="11" t="n">
        <v>40</v>
      </c>
      <c r="E5" s="11" t="n">
        <v>45</v>
      </c>
      <c r="F5" s="11" t="n">
        <v>35</v>
      </c>
      <c r="G5" s="11" t="n">
        <v>95</v>
      </c>
      <c r="H5" s="10" t="s">
        <v>252</v>
      </c>
      <c r="I5" s="11" t="n">
        <v>90</v>
      </c>
      <c r="J5" s="13" t="s">
        <v>253</v>
      </c>
      <c r="K5" s="13" t="s">
        <v>254</v>
      </c>
    </row>
    <row r="6" customFormat="false" ht="31.5" hidden="false" customHeight="true" outlineLevel="0" collapsed="false">
      <c r="A6" s="9" t="s">
        <v>255</v>
      </c>
      <c r="B6" s="10" t="s">
        <v>256</v>
      </c>
      <c r="C6" s="10" t="s">
        <v>257</v>
      </c>
      <c r="D6" s="11" t="n">
        <v>60</v>
      </c>
      <c r="E6" s="11" t="n">
        <v>70</v>
      </c>
      <c r="F6" s="11" t="n">
        <v>40</v>
      </c>
      <c r="G6" s="11" t="n">
        <v>35</v>
      </c>
      <c r="H6" s="10" t="s">
        <v>258</v>
      </c>
      <c r="I6" s="11" t="n">
        <v>35</v>
      </c>
      <c r="J6" s="18" t="s">
        <v>259</v>
      </c>
      <c r="K6" s="13" t="s">
        <v>260</v>
      </c>
    </row>
    <row r="7" customFormat="false" ht="31.5" hidden="false" customHeight="true" outlineLevel="0" collapsed="false">
      <c r="A7" s="9" t="s">
        <v>261</v>
      </c>
      <c r="B7" s="10" t="s">
        <v>262</v>
      </c>
      <c r="C7" s="10" t="s">
        <v>263</v>
      </c>
      <c r="D7" s="11" t="n">
        <v>40</v>
      </c>
      <c r="E7" s="11" t="n">
        <v>90</v>
      </c>
      <c r="F7" s="11" t="n">
        <v>45</v>
      </c>
      <c r="G7" s="11" t="n">
        <v>70</v>
      </c>
      <c r="H7" s="10" t="s">
        <v>264</v>
      </c>
      <c r="I7" s="11" t="n">
        <v>70</v>
      </c>
      <c r="J7" s="13" t="s">
        <v>265</v>
      </c>
      <c r="K7" s="13" t="s">
        <v>266</v>
      </c>
    </row>
    <row r="8" customFormat="false" ht="32.8" hidden="false" customHeight="false" outlineLevel="0" collapsed="false">
      <c r="A8" s="9" t="s">
        <v>267</v>
      </c>
      <c r="B8" s="10" t="s">
        <v>268</v>
      </c>
      <c r="C8" s="10" t="s">
        <v>269</v>
      </c>
      <c r="D8" s="11" t="n">
        <v>80</v>
      </c>
      <c r="E8" s="11" t="n">
        <v>55</v>
      </c>
      <c r="F8" s="11" t="n">
        <v>65</v>
      </c>
      <c r="G8" s="11" t="n">
        <v>25</v>
      </c>
      <c r="H8" s="10" t="s">
        <v>270</v>
      </c>
      <c r="I8" s="11" t="n">
        <v>20</v>
      </c>
      <c r="J8" s="13" t="s">
        <v>271</v>
      </c>
      <c r="K8" s="13" t="s">
        <v>272</v>
      </c>
    </row>
    <row r="9" customFormat="false" ht="32.8" hidden="false" customHeight="false" outlineLevel="0" collapsed="false">
      <c r="A9" s="9" t="s">
        <v>273</v>
      </c>
      <c r="B9" s="10" t="s">
        <v>274</v>
      </c>
      <c r="C9" s="10" t="s">
        <v>275</v>
      </c>
      <c r="D9" s="11" t="n">
        <v>45</v>
      </c>
      <c r="E9" s="11" t="n">
        <v>55</v>
      </c>
      <c r="F9" s="11" t="n">
        <v>40</v>
      </c>
      <c r="G9" s="11" t="n">
        <v>95</v>
      </c>
      <c r="H9" s="10" t="s">
        <v>276</v>
      </c>
      <c r="I9" s="11" t="n">
        <v>85</v>
      </c>
      <c r="J9" s="13" t="s">
        <v>277</v>
      </c>
      <c r="K9" s="13" t="s">
        <v>278</v>
      </c>
    </row>
    <row r="10" customFormat="false" ht="32.8" hidden="false" customHeight="false" outlineLevel="0" collapsed="false">
      <c r="A10" s="9" t="s">
        <v>279</v>
      </c>
      <c r="B10" s="10" t="s">
        <v>280</v>
      </c>
      <c r="C10" s="10" t="s">
        <v>281</v>
      </c>
      <c r="D10" s="11" t="n">
        <v>50</v>
      </c>
      <c r="E10" s="11" t="n">
        <v>65</v>
      </c>
      <c r="F10" s="11" t="n">
        <v>40</v>
      </c>
      <c r="G10" s="11" t="n">
        <v>85</v>
      </c>
      <c r="H10" s="10" t="s">
        <v>282</v>
      </c>
      <c r="I10" s="11" t="n">
        <v>80</v>
      </c>
      <c r="J10" s="13" t="s">
        <v>283</v>
      </c>
      <c r="K10" s="13" t="s">
        <v>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4" min="2" style="1" width="18"/>
    <col collapsed="false" customWidth="true" hidden="false" outlineLevel="0" max="5" min="5" style="1" width="20"/>
    <col collapsed="false" customWidth="true" hidden="false" outlineLevel="0" max="6" min="6" style="1" width="22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9" min="9" style="1" width="32"/>
    <col collapsed="false" customWidth="true" hidden="false" outlineLevel="0" max="10" min="10" style="1" width="34"/>
  </cols>
  <sheetData>
    <row r="1" customFormat="false" ht="17.25" hidden="false" customHeight="true" outlineLevel="0" collapsed="false">
      <c r="A1" s="2" t="s">
        <v>285</v>
      </c>
    </row>
    <row r="2" customFormat="false" ht="16.5" hidden="false" customHeight="true" outlineLevel="0" collapsed="false">
      <c r="A2" s="8" t="s">
        <v>286</v>
      </c>
      <c r="B2" s="8" t="s">
        <v>287</v>
      </c>
      <c r="C2" s="8" t="s">
        <v>288</v>
      </c>
      <c r="D2" s="8" t="s">
        <v>289</v>
      </c>
      <c r="E2" s="8" t="s">
        <v>290</v>
      </c>
      <c r="F2" s="8" t="s">
        <v>291</v>
      </c>
      <c r="G2" s="8" t="s">
        <v>292</v>
      </c>
      <c r="H2" s="8" t="s">
        <v>293</v>
      </c>
      <c r="I2" s="8" t="s">
        <v>294</v>
      </c>
      <c r="J2" s="8" t="s">
        <v>295</v>
      </c>
    </row>
    <row r="3" customFormat="false" ht="39.75" hidden="false" customHeight="true" outlineLevel="0" collapsed="false">
      <c r="A3" s="9" t="s">
        <v>296</v>
      </c>
      <c r="B3" s="10" t="s">
        <v>297</v>
      </c>
      <c r="C3" s="13" t="s">
        <v>298</v>
      </c>
      <c r="D3" s="13" t="s">
        <v>90</v>
      </c>
      <c r="E3" s="13" t="s">
        <v>299</v>
      </c>
      <c r="F3" s="13" t="s">
        <v>300</v>
      </c>
      <c r="G3" s="11" t="s">
        <v>301</v>
      </c>
      <c r="H3" s="10" t="s">
        <v>302</v>
      </c>
      <c r="I3" s="13" t="s">
        <v>303</v>
      </c>
      <c r="J3" s="13" t="s">
        <v>304</v>
      </c>
    </row>
    <row r="4" customFormat="false" ht="39.75" hidden="false" customHeight="true" outlineLevel="0" collapsed="false">
      <c r="A4" s="9" t="s">
        <v>305</v>
      </c>
      <c r="B4" s="10" t="s">
        <v>306</v>
      </c>
      <c r="C4" s="13" t="s">
        <v>307</v>
      </c>
      <c r="D4" s="13" t="s">
        <v>308</v>
      </c>
      <c r="E4" s="13" t="s">
        <v>309</v>
      </c>
      <c r="F4" s="13" t="s">
        <v>310</v>
      </c>
      <c r="G4" s="11" t="s">
        <v>311</v>
      </c>
      <c r="H4" s="10" t="s">
        <v>312</v>
      </c>
      <c r="I4" s="13" t="s">
        <v>313</v>
      </c>
      <c r="J4" s="13" t="s">
        <v>314</v>
      </c>
    </row>
    <row r="5" customFormat="false" ht="39.75" hidden="false" customHeight="true" outlineLevel="0" collapsed="false">
      <c r="A5" s="9" t="s">
        <v>315</v>
      </c>
      <c r="B5" s="10" t="s">
        <v>316</v>
      </c>
      <c r="C5" s="13" t="s">
        <v>317</v>
      </c>
      <c r="D5" s="13" t="s">
        <v>298</v>
      </c>
      <c r="E5" s="13" t="s">
        <v>318</v>
      </c>
      <c r="F5" s="13" t="s">
        <v>319</v>
      </c>
      <c r="G5" s="11" t="s">
        <v>301</v>
      </c>
      <c r="H5" s="10" t="s">
        <v>302</v>
      </c>
      <c r="I5" s="13" t="s">
        <v>320</v>
      </c>
      <c r="J5" s="13" t="s">
        <v>321</v>
      </c>
    </row>
    <row r="6" customFormat="false" ht="39.75" hidden="false" customHeight="true" outlineLevel="0" collapsed="false">
      <c r="A6" s="9" t="s">
        <v>322</v>
      </c>
      <c r="B6" s="10" t="s">
        <v>323</v>
      </c>
      <c r="C6" s="13" t="s">
        <v>324</v>
      </c>
      <c r="D6" s="13" t="s">
        <v>325</v>
      </c>
      <c r="E6" s="13" t="s">
        <v>326</v>
      </c>
      <c r="F6" s="13" t="s">
        <v>327</v>
      </c>
      <c r="G6" s="11" t="s">
        <v>328</v>
      </c>
      <c r="H6" s="10" t="s">
        <v>329</v>
      </c>
      <c r="I6" s="13" t="s">
        <v>330</v>
      </c>
      <c r="J6" s="13" t="s">
        <v>331</v>
      </c>
    </row>
    <row r="7" customFormat="false" ht="39.75" hidden="false" customHeight="true" outlineLevel="0" collapsed="false">
      <c r="A7" s="9" t="s">
        <v>332</v>
      </c>
      <c r="B7" s="10" t="s">
        <v>333</v>
      </c>
      <c r="C7" s="13" t="s">
        <v>334</v>
      </c>
      <c r="D7" s="13" t="s">
        <v>335</v>
      </c>
      <c r="E7" s="13" t="s">
        <v>90</v>
      </c>
      <c r="F7" s="13" t="s">
        <v>336</v>
      </c>
      <c r="G7" s="11" t="s">
        <v>311</v>
      </c>
      <c r="H7" s="10" t="s">
        <v>302</v>
      </c>
      <c r="I7" s="13" t="s">
        <v>337</v>
      </c>
      <c r="J7" s="13" t="s">
        <v>338</v>
      </c>
    </row>
    <row r="8" customFormat="false" ht="39.75" hidden="false" customHeight="true" outlineLevel="0" collapsed="false">
      <c r="A8" s="9" t="s">
        <v>339</v>
      </c>
      <c r="B8" s="10" t="s">
        <v>340</v>
      </c>
      <c r="C8" s="13" t="s">
        <v>308</v>
      </c>
      <c r="D8" s="13" t="s">
        <v>309</v>
      </c>
      <c r="E8" s="19" t="s">
        <v>341</v>
      </c>
      <c r="F8" s="13" t="s">
        <v>342</v>
      </c>
      <c r="G8" s="11" t="s">
        <v>301</v>
      </c>
      <c r="H8" s="10" t="s">
        <v>343</v>
      </c>
      <c r="I8" s="13" t="s">
        <v>344</v>
      </c>
      <c r="J8" s="13" t="s">
        <v>345</v>
      </c>
    </row>
    <row r="9" customFormat="false" ht="39.75" hidden="false" customHeight="true" outlineLevel="0" collapsed="false">
      <c r="A9" s="9" t="s">
        <v>346</v>
      </c>
      <c r="B9" s="10" t="s">
        <v>347</v>
      </c>
      <c r="C9" s="13" t="s">
        <v>348</v>
      </c>
      <c r="D9" s="13" t="s">
        <v>349</v>
      </c>
      <c r="E9" s="19" t="s">
        <v>341</v>
      </c>
      <c r="F9" s="13" t="s">
        <v>327</v>
      </c>
      <c r="G9" s="11" t="s">
        <v>328</v>
      </c>
      <c r="H9" s="10" t="s">
        <v>302</v>
      </c>
      <c r="I9" s="13" t="s">
        <v>350</v>
      </c>
      <c r="J9" s="13" t="s">
        <v>351</v>
      </c>
    </row>
    <row r="10" customFormat="false" ht="32.8" hidden="false" customHeight="false" outlineLevel="0" collapsed="false">
      <c r="A10" s="9" t="s">
        <v>352</v>
      </c>
      <c r="B10" s="10" t="s">
        <v>353</v>
      </c>
      <c r="C10" s="13" t="s">
        <v>354</v>
      </c>
      <c r="D10" s="13" t="s">
        <v>325</v>
      </c>
      <c r="E10" s="13" t="s">
        <v>308</v>
      </c>
      <c r="F10" s="13" t="s">
        <v>327</v>
      </c>
      <c r="G10" s="11" t="s">
        <v>328</v>
      </c>
      <c r="H10" s="10" t="s">
        <v>355</v>
      </c>
      <c r="I10" s="13" t="s">
        <v>356</v>
      </c>
      <c r="J10" s="13" t="s">
        <v>357</v>
      </c>
    </row>
    <row r="11" customFormat="false" ht="32.8" hidden="false" customHeight="false" outlineLevel="0" collapsed="false">
      <c r="A11" s="9" t="s">
        <v>358</v>
      </c>
      <c r="B11" s="10" t="s">
        <v>359</v>
      </c>
      <c r="C11" s="13" t="s">
        <v>360</v>
      </c>
      <c r="D11" s="13" t="s">
        <v>341</v>
      </c>
      <c r="E11" s="13" t="s">
        <v>341</v>
      </c>
      <c r="F11" s="13" t="s">
        <v>361</v>
      </c>
      <c r="G11" s="11" t="s">
        <v>362</v>
      </c>
      <c r="H11" s="10" t="s">
        <v>363</v>
      </c>
      <c r="I11" s="13" t="s">
        <v>364</v>
      </c>
      <c r="J11" s="13" t="s">
        <v>365</v>
      </c>
    </row>
    <row r="12" customFormat="false" ht="32.8" hidden="false" customHeight="false" outlineLevel="0" collapsed="false">
      <c r="A12" s="9" t="s">
        <v>366</v>
      </c>
      <c r="B12" s="10" t="s">
        <v>367</v>
      </c>
      <c r="C12" s="13" t="s">
        <v>368</v>
      </c>
      <c r="D12" s="13" t="s">
        <v>308</v>
      </c>
      <c r="E12" s="13" t="s">
        <v>369</v>
      </c>
      <c r="F12" s="13" t="s">
        <v>370</v>
      </c>
      <c r="G12" s="11" t="s">
        <v>371</v>
      </c>
      <c r="H12" s="10" t="s">
        <v>372</v>
      </c>
      <c r="I12" s="13" t="s">
        <v>373</v>
      </c>
      <c r="J12" s="13" t="s">
        <v>374</v>
      </c>
    </row>
    <row r="13" customFormat="false" ht="32.8" hidden="false" customHeight="false" outlineLevel="0" collapsed="false">
      <c r="A13" s="9" t="s">
        <v>375</v>
      </c>
      <c r="B13" s="10" t="s">
        <v>376</v>
      </c>
      <c r="C13" s="13" t="s">
        <v>354</v>
      </c>
      <c r="D13" s="13" t="s">
        <v>377</v>
      </c>
      <c r="E13" s="13" t="s">
        <v>341</v>
      </c>
      <c r="F13" s="13" t="s">
        <v>327</v>
      </c>
      <c r="G13" s="11" t="s">
        <v>371</v>
      </c>
      <c r="H13" s="10" t="s">
        <v>378</v>
      </c>
      <c r="I13" s="13" t="s">
        <v>379</v>
      </c>
      <c r="J13" s="13" t="s">
        <v>380</v>
      </c>
    </row>
    <row r="14" customFormat="false" ht="32.8" hidden="false" customHeight="false" outlineLevel="0" collapsed="false">
      <c r="A14" s="9" t="s">
        <v>381</v>
      </c>
      <c r="B14" s="10" t="s">
        <v>382</v>
      </c>
      <c r="C14" s="13" t="s">
        <v>334</v>
      </c>
      <c r="D14" s="13" t="s">
        <v>308</v>
      </c>
      <c r="E14" s="13" t="s">
        <v>383</v>
      </c>
      <c r="F14" s="13" t="s">
        <v>310</v>
      </c>
      <c r="G14" s="11" t="s">
        <v>384</v>
      </c>
      <c r="H14" s="10" t="s">
        <v>385</v>
      </c>
      <c r="I14" s="13" t="s">
        <v>386</v>
      </c>
      <c r="J14" s="13" t="s">
        <v>387</v>
      </c>
    </row>
    <row r="15" customFormat="false" ht="32.8" hidden="false" customHeight="false" outlineLevel="0" collapsed="false">
      <c r="A15" s="9" t="s">
        <v>388</v>
      </c>
      <c r="B15" s="10" t="s">
        <v>389</v>
      </c>
      <c r="C15" s="13" t="s">
        <v>390</v>
      </c>
      <c r="D15" s="13" t="s">
        <v>391</v>
      </c>
      <c r="E15" s="13" t="s">
        <v>392</v>
      </c>
      <c r="F15" s="13" t="s">
        <v>327</v>
      </c>
      <c r="G15" s="11" t="s">
        <v>328</v>
      </c>
      <c r="H15" s="10" t="s">
        <v>393</v>
      </c>
      <c r="I15" s="13" t="s">
        <v>394</v>
      </c>
      <c r="J15" s="13" t="s">
        <v>395</v>
      </c>
    </row>
    <row r="16" customFormat="false" ht="32.8" hidden="false" customHeight="false" outlineLevel="0" collapsed="false">
      <c r="A16" s="9" t="s">
        <v>396</v>
      </c>
      <c r="B16" s="10" t="s">
        <v>397</v>
      </c>
      <c r="C16" s="13" t="s">
        <v>129</v>
      </c>
      <c r="D16" s="13" t="s">
        <v>107</v>
      </c>
      <c r="E16" s="13" t="s">
        <v>121</v>
      </c>
      <c r="F16" s="13" t="s">
        <v>398</v>
      </c>
      <c r="G16" s="11" t="s">
        <v>399</v>
      </c>
      <c r="H16" s="10" t="s">
        <v>400</v>
      </c>
      <c r="I16" s="13" t="s">
        <v>401</v>
      </c>
      <c r="J16" s="13" t="s">
        <v>402</v>
      </c>
    </row>
    <row r="17" customFormat="false" ht="32.8" hidden="false" customHeight="false" outlineLevel="0" collapsed="false">
      <c r="A17" s="9" t="s">
        <v>403</v>
      </c>
      <c r="B17" s="10" t="s">
        <v>404</v>
      </c>
      <c r="C17" s="13" t="s">
        <v>405</v>
      </c>
      <c r="D17" s="13" t="s">
        <v>349</v>
      </c>
      <c r="E17" s="13" t="s">
        <v>309</v>
      </c>
      <c r="F17" s="13" t="s">
        <v>342</v>
      </c>
      <c r="G17" s="11" t="s">
        <v>384</v>
      </c>
      <c r="H17" s="10" t="s">
        <v>406</v>
      </c>
      <c r="I17" s="13" t="s">
        <v>407</v>
      </c>
      <c r="J17" s="13" t="s">
        <v>408</v>
      </c>
    </row>
    <row r="18" customFormat="false" ht="32.8" hidden="false" customHeight="false" outlineLevel="0" collapsed="false">
      <c r="A18" s="9" t="s">
        <v>409</v>
      </c>
      <c r="B18" s="10" t="s">
        <v>410</v>
      </c>
      <c r="C18" s="13" t="s">
        <v>334</v>
      </c>
      <c r="D18" s="13" t="s">
        <v>349</v>
      </c>
      <c r="E18" s="13" t="s">
        <v>90</v>
      </c>
      <c r="F18" s="13" t="s">
        <v>310</v>
      </c>
      <c r="G18" s="11" t="s">
        <v>399</v>
      </c>
      <c r="H18" s="10" t="s">
        <v>411</v>
      </c>
      <c r="I18" s="13" t="s">
        <v>412</v>
      </c>
      <c r="J18" s="13" t="s">
        <v>413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3" min="2" style="1" width="16"/>
    <col collapsed="false" customWidth="true" hidden="false" outlineLevel="0" max="5" min="4" style="1" width="11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8" min="8" style="1" width="18"/>
    <col collapsed="false" customWidth="true" hidden="false" outlineLevel="0" max="9" min="9" style="1" width="22"/>
    <col collapsed="false" customWidth="true" hidden="false" outlineLevel="0" max="10" min="10" style="1" width="34"/>
  </cols>
  <sheetData>
    <row r="1" customFormat="false" ht="21" hidden="false" customHeight="true" outlineLevel="0" collapsed="false">
      <c r="A1" s="2" t="s">
        <v>414</v>
      </c>
    </row>
    <row r="2" customFormat="false" ht="16.5" hidden="false" customHeight="true" outlineLevel="0" collapsed="false">
      <c r="A2" s="7" t="s">
        <v>34</v>
      </c>
      <c r="B2" s="8" t="s">
        <v>227</v>
      </c>
      <c r="C2" s="8" t="s">
        <v>415</v>
      </c>
      <c r="D2" s="8" t="s">
        <v>416</v>
      </c>
      <c r="E2" s="8" t="s">
        <v>417</v>
      </c>
      <c r="F2" s="8" t="s">
        <v>418</v>
      </c>
      <c r="G2" s="8" t="s">
        <v>419</v>
      </c>
      <c r="H2" s="8" t="s">
        <v>420</v>
      </c>
      <c r="I2" s="8" t="s">
        <v>421</v>
      </c>
      <c r="J2" s="8" t="s">
        <v>422</v>
      </c>
    </row>
    <row r="3" customFormat="false" ht="43.5" hidden="false" customHeight="true" outlineLevel="0" collapsed="false">
      <c r="A3" s="9" t="s">
        <v>423</v>
      </c>
      <c r="B3" s="10" t="s">
        <v>424</v>
      </c>
      <c r="C3" s="10" t="s">
        <v>425</v>
      </c>
      <c r="D3" s="20" t="s">
        <v>426</v>
      </c>
      <c r="E3" s="21" t="s">
        <v>427</v>
      </c>
      <c r="F3" s="21" t="s">
        <v>428</v>
      </c>
      <c r="G3" s="13" t="s">
        <v>429</v>
      </c>
      <c r="H3" s="13" t="s">
        <v>430</v>
      </c>
      <c r="I3" s="13" t="s">
        <v>431</v>
      </c>
      <c r="J3" s="13" t="s">
        <v>432</v>
      </c>
    </row>
    <row r="4" customFormat="false" ht="43.5" hidden="false" customHeight="true" outlineLevel="0" collapsed="false">
      <c r="A4" s="9" t="s">
        <v>433</v>
      </c>
      <c r="B4" s="10" t="s">
        <v>434</v>
      </c>
      <c r="C4" s="10" t="s">
        <v>435</v>
      </c>
      <c r="D4" s="21" t="s">
        <v>436</v>
      </c>
      <c r="E4" s="21" t="s">
        <v>427</v>
      </c>
      <c r="F4" s="21" t="s">
        <v>437</v>
      </c>
      <c r="G4" s="13" t="s">
        <v>246</v>
      </c>
      <c r="H4" s="13" t="s">
        <v>438</v>
      </c>
      <c r="I4" s="13" t="s">
        <v>439</v>
      </c>
      <c r="J4" s="13" t="s">
        <v>440</v>
      </c>
    </row>
    <row r="5" customFormat="false" ht="43.5" hidden="false" customHeight="true" outlineLevel="0" collapsed="false">
      <c r="A5" s="9" t="s">
        <v>441</v>
      </c>
      <c r="B5" s="10" t="s">
        <v>442</v>
      </c>
      <c r="C5" s="10" t="s">
        <v>443</v>
      </c>
      <c r="D5" s="21" t="s">
        <v>444</v>
      </c>
      <c r="E5" s="21" t="s">
        <v>445</v>
      </c>
      <c r="F5" s="21" t="s">
        <v>446</v>
      </c>
      <c r="G5" s="13" t="s">
        <v>447</v>
      </c>
      <c r="H5" s="13" t="s">
        <v>448</v>
      </c>
      <c r="I5" s="13" t="s">
        <v>449</v>
      </c>
      <c r="J5" s="13" t="s">
        <v>450</v>
      </c>
    </row>
    <row r="6" customFormat="false" ht="43.5" hidden="false" customHeight="true" outlineLevel="0" collapsed="false">
      <c r="A6" s="9" t="s">
        <v>451</v>
      </c>
      <c r="B6" s="10" t="s">
        <v>452</v>
      </c>
      <c r="C6" s="10" t="s">
        <v>453</v>
      </c>
      <c r="D6" s="21" t="s">
        <v>454</v>
      </c>
      <c r="E6" s="21" t="s">
        <v>427</v>
      </c>
      <c r="F6" s="21" t="s">
        <v>455</v>
      </c>
      <c r="G6" s="13" t="s">
        <v>456</v>
      </c>
      <c r="H6" s="13" t="s">
        <v>457</v>
      </c>
      <c r="I6" s="13" t="s">
        <v>458</v>
      </c>
      <c r="J6" s="13" t="s">
        <v>459</v>
      </c>
    </row>
    <row r="7" customFormat="false" ht="32.8" hidden="false" customHeight="false" outlineLevel="0" collapsed="false">
      <c r="A7" s="9" t="s">
        <v>460</v>
      </c>
      <c r="B7" s="10" t="s">
        <v>461</v>
      </c>
      <c r="C7" s="10" t="s">
        <v>462</v>
      </c>
      <c r="D7" s="20" t="s">
        <v>463</v>
      </c>
      <c r="E7" s="21" t="s">
        <v>445</v>
      </c>
      <c r="F7" s="21" t="s">
        <v>446</v>
      </c>
      <c r="G7" s="13" t="s">
        <v>464</v>
      </c>
      <c r="H7" s="13" t="s">
        <v>465</v>
      </c>
      <c r="I7" s="13" t="s">
        <v>466</v>
      </c>
      <c r="J7" s="13" t="s">
        <v>467</v>
      </c>
    </row>
    <row r="8" customFormat="false" ht="32.8" hidden="false" customHeight="false" outlineLevel="0" collapsed="false">
      <c r="A8" s="9" t="s">
        <v>468</v>
      </c>
      <c r="B8" s="10" t="s">
        <v>469</v>
      </c>
      <c r="C8" s="10" t="s">
        <v>470</v>
      </c>
      <c r="D8" s="20" t="s">
        <v>444</v>
      </c>
      <c r="E8" s="21" t="s">
        <v>445</v>
      </c>
      <c r="F8" s="21" t="s">
        <v>471</v>
      </c>
      <c r="G8" s="13" t="s">
        <v>472</v>
      </c>
      <c r="H8" s="13" t="s">
        <v>473</v>
      </c>
      <c r="I8" s="13" t="s">
        <v>474</v>
      </c>
      <c r="J8" s="13" t="s">
        <v>475</v>
      </c>
    </row>
    <row r="9" customFormat="false" ht="48.5" hidden="false" customHeight="false" outlineLevel="0" collapsed="false">
      <c r="A9" s="9" t="s">
        <v>476</v>
      </c>
      <c r="B9" s="10" t="s">
        <v>477</v>
      </c>
      <c r="C9" s="10" t="s">
        <v>478</v>
      </c>
      <c r="D9" s="20" t="s">
        <v>479</v>
      </c>
      <c r="E9" s="21" t="s">
        <v>480</v>
      </c>
      <c r="F9" s="21" t="s">
        <v>481</v>
      </c>
      <c r="G9" s="13" t="s">
        <v>456</v>
      </c>
      <c r="H9" s="13" t="s">
        <v>482</v>
      </c>
      <c r="I9" s="13" t="s">
        <v>483</v>
      </c>
      <c r="J9" s="13" t="s">
        <v>484</v>
      </c>
    </row>
    <row r="10" customFormat="false" ht="32.8" hidden="false" customHeight="false" outlineLevel="0" collapsed="false">
      <c r="A10" s="9" t="s">
        <v>485</v>
      </c>
      <c r="B10" s="10" t="s">
        <v>486</v>
      </c>
      <c r="C10" s="10" t="s">
        <v>487</v>
      </c>
      <c r="D10" s="20" t="s">
        <v>479</v>
      </c>
      <c r="E10" s="21" t="s">
        <v>445</v>
      </c>
      <c r="F10" s="21" t="s">
        <v>488</v>
      </c>
      <c r="G10" s="13" t="s">
        <v>270</v>
      </c>
      <c r="H10" s="13" t="s">
        <v>489</v>
      </c>
      <c r="I10" s="13" t="s">
        <v>490</v>
      </c>
      <c r="J10" s="13" t="s">
        <v>491</v>
      </c>
    </row>
    <row r="11" customFormat="false" ht="32.8" hidden="false" customHeight="false" outlineLevel="0" collapsed="false">
      <c r="A11" s="9" t="s">
        <v>492</v>
      </c>
      <c r="B11" s="10" t="s">
        <v>493</v>
      </c>
      <c r="C11" s="10" t="s">
        <v>494</v>
      </c>
      <c r="D11" s="20" t="s">
        <v>495</v>
      </c>
      <c r="E11" s="21" t="s">
        <v>427</v>
      </c>
      <c r="F11" s="21" t="s">
        <v>496</v>
      </c>
      <c r="G11" s="13" t="s">
        <v>497</v>
      </c>
      <c r="H11" s="13" t="s">
        <v>498</v>
      </c>
      <c r="I11" s="13" t="s">
        <v>499</v>
      </c>
      <c r="J11" s="13" t="s"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20"/>
    <col collapsed="false" customWidth="true" hidden="false" outlineLevel="0" max="5" min="5" style="1" width="22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8" min="8" style="1" width="26"/>
  </cols>
  <sheetData>
    <row r="1" customFormat="false" ht="17.25" hidden="false" customHeight="true" outlineLevel="0" collapsed="false">
      <c r="A1" s="2" t="s">
        <v>501</v>
      </c>
    </row>
    <row r="2" customFormat="false" ht="16.5" hidden="false" customHeight="true" outlineLevel="0" collapsed="false">
      <c r="A2" s="8" t="s">
        <v>502</v>
      </c>
      <c r="B2" s="8" t="s">
        <v>503</v>
      </c>
      <c r="C2" s="8" t="s">
        <v>504</v>
      </c>
      <c r="D2" s="8" t="s">
        <v>505</v>
      </c>
      <c r="E2" s="8" t="s">
        <v>506</v>
      </c>
      <c r="F2" s="8" t="s">
        <v>507</v>
      </c>
      <c r="G2" s="8" t="s">
        <v>508</v>
      </c>
      <c r="H2" s="8" t="s">
        <v>236</v>
      </c>
    </row>
    <row r="3" customFormat="false" ht="31.5" hidden="false" customHeight="true" outlineLevel="0" collapsed="false">
      <c r="A3" s="9" t="s">
        <v>509</v>
      </c>
      <c r="B3" s="10" t="s">
        <v>510</v>
      </c>
      <c r="C3" s="21" t="s">
        <v>511</v>
      </c>
      <c r="D3" s="13" t="s">
        <v>512</v>
      </c>
      <c r="E3" s="13" t="s">
        <v>513</v>
      </c>
      <c r="F3" s="19" t="s">
        <v>341</v>
      </c>
      <c r="G3" s="9" t="s">
        <v>514</v>
      </c>
      <c r="H3" s="13" t="s">
        <v>515</v>
      </c>
    </row>
    <row r="4" customFormat="false" ht="31.5" hidden="false" customHeight="true" outlineLevel="0" collapsed="false">
      <c r="A4" s="9" t="s">
        <v>516</v>
      </c>
      <c r="B4" s="10" t="s">
        <v>517</v>
      </c>
      <c r="C4" s="21" t="s">
        <v>518</v>
      </c>
      <c r="D4" s="13" t="s">
        <v>519</v>
      </c>
      <c r="E4" s="13" t="s">
        <v>520</v>
      </c>
      <c r="F4" s="13" t="s">
        <v>341</v>
      </c>
      <c r="G4" s="9" t="s">
        <v>521</v>
      </c>
      <c r="H4" s="13" t="s">
        <v>522</v>
      </c>
    </row>
    <row r="5" customFormat="false" ht="31.5" hidden="false" customHeight="true" outlineLevel="0" collapsed="false">
      <c r="A5" s="9" t="s">
        <v>523</v>
      </c>
      <c r="B5" s="10" t="s">
        <v>524</v>
      </c>
      <c r="C5" s="21" t="s">
        <v>525</v>
      </c>
      <c r="D5" s="13" t="s">
        <v>526</v>
      </c>
      <c r="E5" s="13" t="s">
        <v>527</v>
      </c>
      <c r="F5" s="19" t="s">
        <v>341</v>
      </c>
      <c r="G5" s="9" t="s">
        <v>528</v>
      </c>
      <c r="H5" s="13" t="s">
        <v>529</v>
      </c>
    </row>
    <row r="6" customFormat="false" ht="31.5" hidden="false" customHeight="true" outlineLevel="0" collapsed="false">
      <c r="A6" s="9" t="s">
        <v>530</v>
      </c>
      <c r="B6" s="10" t="s">
        <v>531</v>
      </c>
      <c r="C6" s="21" t="s">
        <v>532</v>
      </c>
      <c r="D6" s="13" t="s">
        <v>533</v>
      </c>
      <c r="E6" s="13" t="s">
        <v>534</v>
      </c>
      <c r="F6" s="18" t="s">
        <v>535</v>
      </c>
      <c r="G6" s="9" t="s">
        <v>536</v>
      </c>
      <c r="H6" s="13" t="s">
        <v>537</v>
      </c>
    </row>
    <row r="7" customFormat="false" ht="48.5" hidden="false" customHeight="false" outlineLevel="0" collapsed="false">
      <c r="A7" s="9" t="s">
        <v>538</v>
      </c>
      <c r="B7" s="10" t="s">
        <v>539</v>
      </c>
      <c r="C7" s="21" t="s">
        <v>540</v>
      </c>
      <c r="D7" s="13" t="s">
        <v>533</v>
      </c>
      <c r="E7" s="13" t="s">
        <v>541</v>
      </c>
      <c r="F7" s="19" t="s">
        <v>341</v>
      </c>
      <c r="G7" s="9" t="s">
        <v>243</v>
      </c>
      <c r="H7" s="13" t="s">
        <v>542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2026-06-06T17:26:36Z</dcterms:created>
  <dc:creator>openpyxl</dc:creator>
  <dc:description/>
  <dc:language>en-US</dc:language>
  <cp:lastModifiedBy/>
  <dcterms:modified xsi:type="dcterms:W3CDTF">2026-06-06T17:38:34Z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